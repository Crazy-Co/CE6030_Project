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MY COMPUTER\Yogi\Sem 6\CE6030\Project\"/>
    </mc:Choice>
  </mc:AlternateContent>
  <xr:revisionPtr revIDLastSave="0" documentId="13_ncr:1_{5893FA98-A683-434E-84FE-378A16612A0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Flexible Pavement Design" sheetId="1" r:id="rId1"/>
    <sheet name="Rigid Pavement Design" sheetId="2" r:id="rId2"/>
    <sheet name="Cost Estimation" sheetId="3" r:id="rId3"/>
    <sheet name="Cash Flow" sheetId="4" r:id="rId4"/>
    <sheet name="Financial Analysis" sheetId="5" r:id="rId5"/>
    <sheet name="Economic Analysis" sheetId="6" r:id="rId6"/>
    <sheet name="Risk Analysi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" i="3" l="1"/>
  <c r="C10" i="3"/>
  <c r="D26" i="1"/>
  <c r="E26" i="1"/>
  <c r="F26" i="1"/>
  <c r="G26" i="1"/>
  <c r="H26" i="1"/>
  <c r="C26" i="1"/>
  <c r="C27" i="1" s="1"/>
  <c r="B17" i="1"/>
  <c r="B18" i="1" s="1"/>
  <c r="B19" i="1" s="1"/>
  <c r="B20" i="1" s="1"/>
  <c r="B21" i="1" s="1"/>
  <c r="B22" i="1" s="1"/>
  <c r="B23" i="1" s="1"/>
  <c r="B24" i="1" s="1"/>
  <c r="B25" i="1" s="1"/>
  <c r="F27" i="1" l="1"/>
  <c r="H27" i="1"/>
  <c r="E27" i="1"/>
  <c r="G27" i="1"/>
  <c r="D27" i="1"/>
</calcChain>
</file>

<file path=xl/sharedStrings.xml><?xml version="1.0" encoding="utf-8"?>
<sst xmlns="http://schemas.openxmlformats.org/spreadsheetml/2006/main" count="69" uniqueCount="54">
  <si>
    <t>Bus</t>
  </si>
  <si>
    <t>Car</t>
  </si>
  <si>
    <t>Date</t>
  </si>
  <si>
    <t>Truck</t>
  </si>
  <si>
    <t>LCV</t>
  </si>
  <si>
    <t>MAV</t>
  </si>
  <si>
    <t>3 Axle</t>
  </si>
  <si>
    <t>Annexture 8 - Daily Tollable Toll Collection Traffic Count and Revenue Entry Details</t>
  </si>
  <si>
    <t>Reference</t>
  </si>
  <si>
    <t>https://msrdc.in/Site/Upload/GR/Khalapur%20YCEW%20Feb%202016.pdf</t>
  </si>
  <si>
    <t>Average Traffic</t>
  </si>
  <si>
    <t xml:space="preserve">LDF = </t>
  </si>
  <si>
    <t xml:space="preserve">VDF = </t>
  </si>
  <si>
    <t xml:space="preserve">n (Design life in years) </t>
  </si>
  <si>
    <t>r (rate of traffic growth)</t>
  </si>
  <si>
    <t>Mix design parameters of bituminous layer: 3% air voids and 11.5% effective bitumen content</t>
  </si>
  <si>
    <t>Effective CBR of the subgrade = 9 %</t>
  </si>
  <si>
    <t xml:space="preserve"> (for three lane in each direction)</t>
  </si>
  <si>
    <t>% composition</t>
  </si>
  <si>
    <t>Traffic data</t>
  </si>
  <si>
    <t>Period</t>
  </si>
  <si>
    <t>Feb, 2016</t>
  </si>
  <si>
    <t>Toll Plaza</t>
  </si>
  <si>
    <t>Khalapur</t>
  </si>
  <si>
    <t>Source</t>
  </si>
  <si>
    <t>Direction</t>
  </si>
  <si>
    <t>Mumbai to Pune</t>
  </si>
  <si>
    <t>Remarks</t>
  </si>
  <si>
    <t>Axle load survey for 10 days on Khalapur toll plaza</t>
  </si>
  <si>
    <t>Dimensions</t>
  </si>
  <si>
    <t>Flexible Pavement</t>
  </si>
  <si>
    <t>Rigid Pavement</t>
  </si>
  <si>
    <t>Length (in km)</t>
  </si>
  <si>
    <t>Width (in m)</t>
  </si>
  <si>
    <t># The width of a single lane in multilane road is 3.5m. So for 6 lane is 3.5*6 = 21m. And the minimum width of paved shoulder is 1.5m and unpaved shoulder is 2m. So total width of shoulder on both sides including is 2*(1.5+2) = 7m. The minimum width of divider is 2.5m. The clearnce between lane and divider is 0.5 m thus for both sides total clearnce is 0.5*2 = 1m.</t>
  </si>
  <si>
    <t>Subgrade</t>
  </si>
  <si>
    <t>Binder Course</t>
  </si>
  <si>
    <t>GSB</t>
  </si>
  <si>
    <t>Base (WMM)</t>
  </si>
  <si>
    <t>Surface Layer</t>
  </si>
  <si>
    <t>Thickness of each layer (in mm)</t>
  </si>
  <si>
    <t>PQC slab</t>
  </si>
  <si>
    <t>DLC</t>
  </si>
  <si>
    <t>GSB as Drainage layer</t>
  </si>
  <si>
    <t>GSB as Seperation layer</t>
  </si>
  <si>
    <t>Excavation cost</t>
  </si>
  <si>
    <t>Material Cost</t>
  </si>
  <si>
    <t>Maintenance Cost</t>
  </si>
  <si>
    <t>Construction Cost</t>
  </si>
  <si>
    <t>Results</t>
  </si>
  <si>
    <t>Initial cost</t>
  </si>
  <si>
    <t>Annual operation cost</t>
  </si>
  <si>
    <t>Maintenance cost</t>
  </si>
  <si>
    <t>Design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</si>
</sst>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9" fontId="0" fillId="0" borderId="0" xfId="1" applyFont="1"/>
    <xf numFmtId="14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9" xfId="0" applyNumberFormat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0" borderId="3" xfId="0" applyBorder="1"/>
    <xf numFmtId="0" fontId="0" fillId="0" borderId="14" xfId="0" applyBorder="1"/>
    <xf numFmtId="0" fontId="0" fillId="0" borderId="4" xfId="0" applyBorder="1"/>
    <xf numFmtId="0" fontId="0" fillId="0" borderId="5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4" fillId="3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/>
    </xf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/>
    <xf numFmtId="0" fontId="0" fillId="0" borderId="0" xfId="0"/>
    <xf numFmtId="0" fontId="0" fillId="0" borderId="1" xfId="0" applyBorder="1"/>
    <xf numFmtId="0" fontId="5" fillId="3" borderId="0" xfId="0" applyFont="1" applyFill="1" applyAlignment="1">
      <alignment horizontal="center" vertic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0</xdr:colOff>
      <xdr:row>3</xdr:row>
      <xdr:rowOff>18000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D1761D5-0FA9-4523-9089-B3E2106772A3}"/>
            </a:ext>
          </a:extLst>
        </xdr:cNvPr>
        <xdr:cNvSpPr/>
      </xdr:nvSpPr>
      <xdr:spPr>
        <a:xfrm>
          <a:off x="0" y="0"/>
          <a:ext cx="17442264" cy="570659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Design</a:t>
          </a:r>
          <a:r>
            <a:rPr lang="en-IN" sz="2000" b="1" baseline="0"/>
            <a:t> of Flexible Pavement</a:t>
          </a:r>
          <a:endParaRPr lang="en-IN" sz="20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9802D3-0187-41F6-B3A6-DDE40C404CC1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Design</a:t>
          </a:r>
          <a:r>
            <a:rPr lang="en-IN" sz="2000" b="1" baseline="0"/>
            <a:t> of Rigid Pavement</a:t>
          </a:r>
          <a:endParaRPr lang="en-IN" sz="20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B90DDD-05E2-473C-98C5-FC658E6CFB23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Cost</a:t>
          </a:r>
          <a:r>
            <a:rPr lang="en-IN" sz="2000" b="1" baseline="0"/>
            <a:t> Estimation</a:t>
          </a:r>
          <a:endParaRPr lang="en-IN" sz="20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45E5B1D-5A60-4545-9F9A-7087F40FE9A8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Cash flow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7C8A7EE-1360-40CB-8BA7-199883F94BED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Financial</a:t>
          </a:r>
          <a:r>
            <a:rPr lang="en-IN" sz="2000" b="1" baseline="0"/>
            <a:t> Analysis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70AE805-437E-435E-BEB0-C8C71D5C9D39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Economic Analysis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364761</xdr:colOff>
      <xdr:row>3</xdr:row>
      <xdr:rowOff>31491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78A780C-D640-483A-BF12-14847C1F79E6}"/>
            </a:ext>
          </a:extLst>
        </xdr:cNvPr>
        <xdr:cNvSpPr/>
      </xdr:nvSpPr>
      <xdr:spPr>
        <a:xfrm>
          <a:off x="0" y="0"/>
          <a:ext cx="16214361" cy="580131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2000" b="1"/>
            <a:t>Risk Analysis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L40"/>
  <sheetViews>
    <sheetView zoomScale="61" workbookViewId="0">
      <selection activeCell="I33" sqref="I33"/>
    </sheetView>
  </sheetViews>
  <sheetFormatPr defaultRowHeight="14.4" x14ac:dyDescent="0.3"/>
  <cols>
    <col min="2" max="2" width="16.109375" bestFit="1" customWidth="1"/>
    <col min="3" max="4" width="11.44140625" customWidth="1"/>
    <col min="5" max="5" width="12.77734375" customWidth="1"/>
    <col min="6" max="6" width="11.77734375" customWidth="1"/>
    <col min="7" max="8" width="11.44140625" customWidth="1"/>
  </cols>
  <sheetData>
    <row r="6" spans="2:8" ht="15.6" x14ac:dyDescent="0.3">
      <c r="B6" s="31" t="s">
        <v>19</v>
      </c>
      <c r="C6" s="31"/>
      <c r="D6" s="31"/>
      <c r="E6" s="31"/>
      <c r="F6" s="31"/>
      <c r="G6" s="31"/>
      <c r="H6" s="31"/>
    </row>
    <row r="7" spans="2:8" x14ac:dyDescent="0.3">
      <c r="B7" s="6" t="s">
        <v>20</v>
      </c>
      <c r="C7" s="28" t="s">
        <v>21</v>
      </c>
      <c r="D7" s="29"/>
      <c r="E7" s="29"/>
      <c r="F7" s="29"/>
      <c r="G7" s="29"/>
      <c r="H7" s="30"/>
    </row>
    <row r="8" spans="2:8" x14ac:dyDescent="0.3">
      <c r="B8" s="6" t="s">
        <v>22</v>
      </c>
      <c r="C8" s="28" t="s">
        <v>23</v>
      </c>
      <c r="D8" s="29"/>
      <c r="E8" s="29"/>
      <c r="F8" s="29"/>
      <c r="G8" s="29"/>
      <c r="H8" s="30"/>
    </row>
    <row r="9" spans="2:8" x14ac:dyDescent="0.3">
      <c r="B9" s="6" t="s">
        <v>25</v>
      </c>
      <c r="C9" s="28" t="s">
        <v>26</v>
      </c>
      <c r="D9" s="29"/>
      <c r="E9" s="29"/>
      <c r="F9" s="29"/>
      <c r="G9" s="29"/>
      <c r="H9" s="30"/>
    </row>
    <row r="10" spans="2:8" x14ac:dyDescent="0.3">
      <c r="B10" s="6" t="s">
        <v>27</v>
      </c>
      <c r="C10" s="28" t="s">
        <v>28</v>
      </c>
      <c r="D10" s="29"/>
      <c r="E10" s="29"/>
      <c r="F10" s="29"/>
      <c r="G10" s="29"/>
      <c r="H10" s="30"/>
    </row>
    <row r="11" spans="2:8" x14ac:dyDescent="0.3">
      <c r="B11" s="6" t="s">
        <v>24</v>
      </c>
      <c r="C11" s="28" t="s">
        <v>7</v>
      </c>
      <c r="D11" s="29"/>
      <c r="E11" s="29"/>
      <c r="F11" s="29"/>
      <c r="G11" s="29"/>
      <c r="H11" s="30"/>
    </row>
    <row r="12" spans="2:8" x14ac:dyDescent="0.3">
      <c r="B12" s="6" t="s">
        <v>8</v>
      </c>
      <c r="C12" s="28" t="s">
        <v>9</v>
      </c>
      <c r="D12" s="29"/>
      <c r="E12" s="29"/>
      <c r="F12" s="29"/>
      <c r="G12" s="29"/>
      <c r="H12" s="30"/>
    </row>
    <row r="15" spans="2:8" ht="15.6" x14ac:dyDescent="0.3">
      <c r="B15" s="7" t="s">
        <v>2</v>
      </c>
      <c r="C15" s="8" t="s">
        <v>1</v>
      </c>
      <c r="D15" s="8" t="s">
        <v>0</v>
      </c>
      <c r="E15" s="8" t="s">
        <v>3</v>
      </c>
      <c r="F15" s="8" t="s">
        <v>4</v>
      </c>
      <c r="G15" s="8" t="s">
        <v>5</v>
      </c>
      <c r="H15" s="8" t="s">
        <v>6</v>
      </c>
    </row>
    <row r="16" spans="2:8" x14ac:dyDescent="0.3">
      <c r="B16" s="12">
        <v>42401</v>
      </c>
      <c r="C16" s="13">
        <v>7461</v>
      </c>
      <c r="D16" s="13">
        <v>784</v>
      </c>
      <c r="E16" s="13">
        <v>602</v>
      </c>
      <c r="F16" s="13">
        <v>1362</v>
      </c>
      <c r="G16" s="13">
        <v>435</v>
      </c>
      <c r="H16" s="14">
        <v>385</v>
      </c>
    </row>
    <row r="17" spans="2:12" x14ac:dyDescent="0.3">
      <c r="B17" s="15">
        <f t="shared" ref="B17:B25" si="0">B16+3</f>
        <v>42404</v>
      </c>
      <c r="C17" s="16">
        <v>7683</v>
      </c>
      <c r="D17" s="16">
        <v>726</v>
      </c>
      <c r="E17" s="16">
        <v>639</v>
      </c>
      <c r="F17" s="16">
        <v>1493</v>
      </c>
      <c r="G17" s="16">
        <v>480</v>
      </c>
      <c r="H17" s="17">
        <v>494</v>
      </c>
    </row>
    <row r="18" spans="2:12" x14ac:dyDescent="0.3">
      <c r="B18" s="15">
        <f t="shared" si="0"/>
        <v>42407</v>
      </c>
      <c r="C18" s="16">
        <v>10262</v>
      </c>
      <c r="D18" s="16">
        <v>838</v>
      </c>
      <c r="E18" s="16">
        <v>342</v>
      </c>
      <c r="F18" s="16">
        <v>1027</v>
      </c>
      <c r="G18" s="16">
        <v>399</v>
      </c>
      <c r="H18" s="17">
        <v>275</v>
      </c>
      <c r="L18" s="3"/>
    </row>
    <row r="19" spans="2:12" x14ac:dyDescent="0.3">
      <c r="B19" s="15">
        <f t="shared" si="0"/>
        <v>42410</v>
      </c>
      <c r="C19" s="16">
        <v>8160</v>
      </c>
      <c r="D19" s="16">
        <v>770</v>
      </c>
      <c r="E19" s="16">
        <v>617</v>
      </c>
      <c r="F19" s="16">
        <v>1469</v>
      </c>
      <c r="G19" s="16">
        <v>445</v>
      </c>
      <c r="H19" s="17">
        <v>511</v>
      </c>
    </row>
    <row r="20" spans="2:12" x14ac:dyDescent="0.3">
      <c r="B20" s="15">
        <f t="shared" si="0"/>
        <v>42413</v>
      </c>
      <c r="C20" s="16">
        <v>11548</v>
      </c>
      <c r="D20" s="16">
        <v>902</v>
      </c>
      <c r="E20" s="16">
        <v>679</v>
      </c>
      <c r="F20" s="16">
        <v>1577</v>
      </c>
      <c r="G20" s="16">
        <v>473</v>
      </c>
      <c r="H20" s="17">
        <v>520</v>
      </c>
    </row>
    <row r="21" spans="2:12" x14ac:dyDescent="0.3">
      <c r="B21" s="15">
        <f t="shared" si="0"/>
        <v>42416</v>
      </c>
      <c r="C21" s="16">
        <v>7580</v>
      </c>
      <c r="D21" s="16">
        <v>758</v>
      </c>
      <c r="E21" s="16">
        <v>649</v>
      </c>
      <c r="F21" s="16">
        <v>1406</v>
      </c>
      <c r="G21" s="16">
        <v>450</v>
      </c>
      <c r="H21" s="17">
        <v>477</v>
      </c>
    </row>
    <row r="22" spans="2:12" x14ac:dyDescent="0.3">
      <c r="B22" s="15">
        <f t="shared" si="0"/>
        <v>42419</v>
      </c>
      <c r="C22" s="16">
        <v>10122</v>
      </c>
      <c r="D22" s="16">
        <v>834</v>
      </c>
      <c r="E22" s="16">
        <v>526</v>
      </c>
      <c r="F22" s="16">
        <v>1428</v>
      </c>
      <c r="G22" s="16">
        <v>422</v>
      </c>
      <c r="H22" s="17">
        <v>414</v>
      </c>
    </row>
    <row r="23" spans="2:12" x14ac:dyDescent="0.3">
      <c r="B23" s="15">
        <f t="shared" si="0"/>
        <v>42422</v>
      </c>
      <c r="C23" s="16">
        <v>10011</v>
      </c>
      <c r="D23" s="16">
        <v>1036</v>
      </c>
      <c r="E23" s="16">
        <v>1042</v>
      </c>
      <c r="F23" s="16">
        <v>2023</v>
      </c>
      <c r="G23" s="16">
        <v>584</v>
      </c>
      <c r="H23" s="17">
        <v>597</v>
      </c>
    </row>
    <row r="24" spans="2:12" x14ac:dyDescent="0.3">
      <c r="B24" s="15">
        <f t="shared" si="0"/>
        <v>42425</v>
      </c>
      <c r="C24" s="16">
        <v>7793</v>
      </c>
      <c r="D24" s="16">
        <v>759</v>
      </c>
      <c r="E24" s="16">
        <v>652</v>
      </c>
      <c r="F24" s="16">
        <v>1467</v>
      </c>
      <c r="G24" s="16">
        <v>465</v>
      </c>
      <c r="H24" s="17">
        <v>479</v>
      </c>
    </row>
    <row r="25" spans="2:12" x14ac:dyDescent="0.3">
      <c r="B25" s="15">
        <f t="shared" si="0"/>
        <v>42428</v>
      </c>
      <c r="C25" s="16">
        <v>9911</v>
      </c>
      <c r="D25" s="16">
        <v>884</v>
      </c>
      <c r="E25" s="16">
        <v>382</v>
      </c>
      <c r="F25" s="16">
        <v>1098</v>
      </c>
      <c r="G25" s="16">
        <v>396</v>
      </c>
      <c r="H25" s="17">
        <v>309</v>
      </c>
    </row>
    <row r="26" spans="2:12" x14ac:dyDescent="0.3">
      <c r="B26" s="18" t="s">
        <v>10</v>
      </c>
      <c r="C26" s="9">
        <f>AVERAGE(C16:C25)</f>
        <v>9053.1</v>
      </c>
      <c r="D26" s="9">
        <f t="shared" ref="D26:H26" si="1">AVERAGE(D16:D25)</f>
        <v>829.1</v>
      </c>
      <c r="E26" s="9">
        <f t="shared" si="1"/>
        <v>613</v>
      </c>
      <c r="F26" s="9">
        <f t="shared" si="1"/>
        <v>1435</v>
      </c>
      <c r="G26" s="9">
        <f t="shared" si="1"/>
        <v>454.9</v>
      </c>
      <c r="H26" s="19">
        <f t="shared" si="1"/>
        <v>446.1</v>
      </c>
    </row>
    <row r="27" spans="2:12" x14ac:dyDescent="0.3">
      <c r="B27" s="20" t="s">
        <v>18</v>
      </c>
      <c r="C27" s="10">
        <f t="shared" ref="C27:H27" si="2">C26/(SUM($C$26:$H$26))</f>
        <v>0.70555365047696239</v>
      </c>
      <c r="D27" s="11">
        <f t="shared" si="2"/>
        <v>6.4615936155620668E-2</v>
      </c>
      <c r="E27" s="11">
        <f t="shared" si="2"/>
        <v>4.7774175447347092E-2</v>
      </c>
      <c r="F27" s="11">
        <f t="shared" si="2"/>
        <v>0.11183677286613879</v>
      </c>
      <c r="G27" s="11">
        <f t="shared" si="2"/>
        <v>3.5452646673732775E-2</v>
      </c>
      <c r="H27" s="21">
        <f t="shared" si="2"/>
        <v>3.4766818380198267E-2</v>
      </c>
    </row>
    <row r="35" spans="4:6" x14ac:dyDescent="0.3">
      <c r="D35" t="s">
        <v>12</v>
      </c>
    </row>
    <row r="36" spans="4:6" x14ac:dyDescent="0.3">
      <c r="D36" t="s">
        <v>11</v>
      </c>
      <c r="E36" s="1">
        <v>0.6</v>
      </c>
      <c r="F36" t="s">
        <v>17</v>
      </c>
    </row>
    <row r="37" spans="4:6" x14ac:dyDescent="0.3">
      <c r="D37" s="2" t="s">
        <v>13</v>
      </c>
      <c r="E37">
        <v>20</v>
      </c>
    </row>
    <row r="38" spans="4:6" x14ac:dyDescent="0.3">
      <c r="D38" s="2" t="s">
        <v>14</v>
      </c>
      <c r="E38" s="1">
        <v>0.05</v>
      </c>
    </row>
    <row r="39" spans="4:6" x14ac:dyDescent="0.3">
      <c r="D39" t="s">
        <v>15</v>
      </c>
    </row>
    <row r="40" spans="4:6" x14ac:dyDescent="0.3">
      <c r="D40" t="s">
        <v>16</v>
      </c>
    </row>
  </sheetData>
  <mergeCells count="7">
    <mergeCell ref="C12:H12"/>
    <mergeCell ref="B6:H6"/>
    <mergeCell ref="C7:H7"/>
    <mergeCell ref="C8:H8"/>
    <mergeCell ref="C9:H9"/>
    <mergeCell ref="C10:H10"/>
    <mergeCell ref="C11:H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9C17-C691-4DE6-B2F2-E4938FCA3C94}">
  <dimension ref="A1"/>
  <sheetViews>
    <sheetView zoomScale="94" workbookViewId="0">
      <selection activeCell="E18" sqref="E1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0C2BC-A02C-4788-955E-346B5AC51198}">
  <dimension ref="B6:Z93"/>
  <sheetViews>
    <sheetView tabSelected="1" zoomScale="75" workbookViewId="0">
      <selection activeCell="K30" sqref="K30"/>
    </sheetView>
  </sheetViews>
  <sheetFormatPr defaultRowHeight="14.4" x14ac:dyDescent="0.3"/>
  <cols>
    <col min="2" max="2" width="13.44140625" bestFit="1" customWidth="1"/>
    <col min="4" max="4" width="8.88671875" customWidth="1"/>
    <col min="5" max="5" width="11" customWidth="1"/>
    <col min="15" max="15" width="13.44140625" bestFit="1" customWidth="1"/>
  </cols>
  <sheetData>
    <row r="6" spans="2:26" ht="18" x14ac:dyDescent="0.3">
      <c r="B6" s="39" t="s">
        <v>30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O6" s="39" t="s">
        <v>31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8" spans="2:26" x14ac:dyDescent="0.3">
      <c r="B8" s="32" t="s">
        <v>29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O8" s="32" t="s">
        <v>29</v>
      </c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2:26" x14ac:dyDescent="0.3">
      <c r="B9" s="25" t="s">
        <v>32</v>
      </c>
      <c r="C9" s="26">
        <v>94.5</v>
      </c>
      <c r="D9" s="26"/>
      <c r="E9" s="40" t="s">
        <v>34</v>
      </c>
      <c r="F9" s="40"/>
      <c r="G9" s="40"/>
      <c r="H9" s="40"/>
      <c r="I9" s="40"/>
      <c r="J9" s="40"/>
      <c r="K9" s="40"/>
      <c r="L9" s="40"/>
      <c r="M9" s="41"/>
      <c r="O9" s="25" t="s">
        <v>32</v>
      </c>
      <c r="P9" s="26">
        <v>94.5</v>
      </c>
      <c r="Q9" s="26"/>
      <c r="R9" s="40" t="s">
        <v>34</v>
      </c>
      <c r="S9" s="40"/>
      <c r="T9" s="40"/>
      <c r="U9" s="40"/>
      <c r="V9" s="40"/>
      <c r="W9" s="40"/>
      <c r="X9" s="40"/>
      <c r="Y9" s="40"/>
      <c r="Z9" s="41"/>
    </row>
    <row r="10" spans="2:26" x14ac:dyDescent="0.3">
      <c r="B10" s="5" t="s">
        <v>33</v>
      </c>
      <c r="C10">
        <f>3.5*6+2*(1.5+2)+2.5+0.5*2</f>
        <v>31.5</v>
      </c>
      <c r="E10" s="42"/>
      <c r="F10" s="42"/>
      <c r="G10" s="42"/>
      <c r="H10" s="42"/>
      <c r="I10" s="42"/>
      <c r="J10" s="42"/>
      <c r="K10" s="42"/>
      <c r="L10" s="42"/>
      <c r="M10" s="43"/>
      <c r="O10" s="5" t="s">
        <v>33</v>
      </c>
      <c r="P10">
        <f>3.5*6+2*(1.5+2)+2.5+0.5*2</f>
        <v>31.5</v>
      </c>
      <c r="R10" s="42"/>
      <c r="S10" s="42"/>
      <c r="T10" s="42"/>
      <c r="U10" s="42"/>
      <c r="V10" s="42"/>
      <c r="W10" s="42"/>
      <c r="X10" s="42"/>
      <c r="Y10" s="42"/>
      <c r="Z10" s="43"/>
    </row>
    <row r="11" spans="2:26" x14ac:dyDescent="0.3">
      <c r="B11" s="5"/>
      <c r="E11" s="42"/>
      <c r="F11" s="42"/>
      <c r="G11" s="42"/>
      <c r="H11" s="42"/>
      <c r="I11" s="42"/>
      <c r="J11" s="42"/>
      <c r="K11" s="42"/>
      <c r="L11" s="42"/>
      <c r="M11" s="43"/>
      <c r="O11" s="5"/>
      <c r="R11" s="42"/>
      <c r="S11" s="42"/>
      <c r="T11" s="42"/>
      <c r="U11" s="42"/>
      <c r="V11" s="42"/>
      <c r="W11" s="42"/>
      <c r="X11" s="42"/>
      <c r="Y11" s="42"/>
      <c r="Z11" s="43"/>
    </row>
    <row r="12" spans="2:26" x14ac:dyDescent="0.3">
      <c r="B12" s="5"/>
      <c r="E12" s="42"/>
      <c r="F12" s="42"/>
      <c r="G12" s="42"/>
      <c r="H12" s="42"/>
      <c r="I12" s="42"/>
      <c r="J12" s="42"/>
      <c r="K12" s="42"/>
      <c r="L12" s="42"/>
      <c r="M12" s="43"/>
      <c r="O12" s="5"/>
      <c r="R12" s="42"/>
      <c r="S12" s="42"/>
      <c r="T12" s="42"/>
      <c r="U12" s="42"/>
      <c r="V12" s="42"/>
      <c r="W12" s="42"/>
      <c r="X12" s="42"/>
      <c r="Y12" s="42"/>
      <c r="Z12" s="43"/>
    </row>
    <row r="13" spans="2:26" x14ac:dyDescent="0.3">
      <c r="B13" s="33" t="s">
        <v>40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5"/>
      <c r="O13" s="36" t="s">
        <v>40</v>
      </c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8"/>
    </row>
    <row r="14" spans="2:26" x14ac:dyDescent="0.3">
      <c r="B14" s="5" t="s">
        <v>39</v>
      </c>
      <c r="C14">
        <v>40</v>
      </c>
      <c r="M14" s="4"/>
      <c r="O14" s="5" t="s">
        <v>41</v>
      </c>
      <c r="P14">
        <v>300</v>
      </c>
      <c r="Z14" s="4"/>
    </row>
    <row r="15" spans="2:26" x14ac:dyDescent="0.3">
      <c r="B15" s="5" t="s">
        <v>36</v>
      </c>
      <c r="C15">
        <v>110</v>
      </c>
      <c r="M15" s="4"/>
      <c r="O15" s="5" t="s">
        <v>42</v>
      </c>
      <c r="P15">
        <v>150</v>
      </c>
      <c r="Z15" s="4"/>
    </row>
    <row r="16" spans="2:26" x14ac:dyDescent="0.3">
      <c r="B16" s="5" t="s">
        <v>38</v>
      </c>
      <c r="C16">
        <v>250</v>
      </c>
      <c r="M16" s="4"/>
      <c r="O16" s="5" t="s">
        <v>43</v>
      </c>
      <c r="P16">
        <v>250</v>
      </c>
      <c r="Z16" s="4"/>
    </row>
    <row r="17" spans="2:26" x14ac:dyDescent="0.3">
      <c r="B17" s="5" t="s">
        <v>37</v>
      </c>
      <c r="C17">
        <v>200</v>
      </c>
      <c r="M17" s="4"/>
      <c r="O17" s="5" t="s">
        <v>44</v>
      </c>
      <c r="P17">
        <v>150</v>
      </c>
      <c r="Z17" s="4"/>
    </row>
    <row r="18" spans="2:26" x14ac:dyDescent="0.3">
      <c r="B18" s="22" t="s">
        <v>35</v>
      </c>
      <c r="C18" s="23">
        <v>500</v>
      </c>
      <c r="D18" s="23"/>
      <c r="E18" s="23"/>
      <c r="F18" s="23"/>
      <c r="G18" s="23"/>
      <c r="H18" s="23"/>
      <c r="I18" s="23"/>
      <c r="J18" s="23"/>
      <c r="K18" s="23"/>
      <c r="L18" s="23"/>
      <c r="M18" s="24"/>
      <c r="O18" s="22" t="s">
        <v>35</v>
      </c>
      <c r="P18" s="23">
        <v>500</v>
      </c>
      <c r="Q18" s="23"/>
      <c r="R18" s="23"/>
      <c r="S18" s="23"/>
      <c r="T18" s="23"/>
      <c r="U18" s="23"/>
      <c r="V18" s="23"/>
      <c r="W18" s="23"/>
      <c r="X18" s="23"/>
      <c r="Y18" s="23"/>
      <c r="Z18" s="24"/>
    </row>
    <row r="21" spans="2:26" x14ac:dyDescent="0.3">
      <c r="B21" s="32" t="s">
        <v>45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O21" s="32" t="s">
        <v>45</v>
      </c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2:26" x14ac:dyDescent="0.3"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7"/>
      <c r="O22" s="25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7"/>
    </row>
    <row r="23" spans="2:26" x14ac:dyDescent="0.3">
      <c r="B23" s="5"/>
      <c r="M23" s="4"/>
      <c r="O23" s="5"/>
      <c r="Z23" s="4"/>
    </row>
    <row r="24" spans="2:26" x14ac:dyDescent="0.3">
      <c r="B24" s="5"/>
      <c r="M24" s="4"/>
      <c r="O24" s="5"/>
      <c r="Z24" s="4"/>
    </row>
    <row r="25" spans="2:26" x14ac:dyDescent="0.3">
      <c r="B25" s="5"/>
      <c r="M25" s="4"/>
      <c r="O25" s="5"/>
      <c r="Z25" s="4"/>
    </row>
    <row r="26" spans="2:26" x14ac:dyDescent="0.3">
      <c r="B26" s="5"/>
      <c r="M26" s="4"/>
      <c r="O26" s="5"/>
      <c r="Z26" s="4"/>
    </row>
    <row r="27" spans="2:26" x14ac:dyDescent="0.3">
      <c r="B27" s="5"/>
      <c r="M27" s="4"/>
      <c r="O27" s="5"/>
      <c r="Z27" s="4"/>
    </row>
    <row r="28" spans="2:26" x14ac:dyDescent="0.3">
      <c r="B28" s="5"/>
      <c r="M28" s="4"/>
      <c r="O28" s="5"/>
      <c r="Z28" s="4"/>
    </row>
    <row r="29" spans="2:26" x14ac:dyDescent="0.3">
      <c r="B29" s="5"/>
      <c r="M29" s="4"/>
      <c r="O29" s="5"/>
      <c r="Z29" s="4"/>
    </row>
    <row r="30" spans="2:26" x14ac:dyDescent="0.3">
      <c r="B30" s="22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4"/>
      <c r="O30" s="22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4"/>
    </row>
    <row r="33" spans="2:26" x14ac:dyDescent="0.3">
      <c r="B33" s="32" t="s">
        <v>46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O33" s="32" t="s">
        <v>46</v>
      </c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x14ac:dyDescent="0.3"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7"/>
      <c r="O34" s="25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7"/>
    </row>
    <row r="35" spans="2:26" x14ac:dyDescent="0.3">
      <c r="B35" s="5"/>
      <c r="M35" s="4"/>
      <c r="O35" s="5"/>
      <c r="Z35" s="4"/>
    </row>
    <row r="36" spans="2:26" x14ac:dyDescent="0.3">
      <c r="B36" s="5"/>
      <c r="M36" s="4"/>
      <c r="O36" s="5"/>
      <c r="Z36" s="4"/>
    </row>
    <row r="37" spans="2:26" x14ac:dyDescent="0.3">
      <c r="B37" s="5"/>
      <c r="M37" s="4"/>
      <c r="O37" s="5"/>
      <c r="Z37" s="4"/>
    </row>
    <row r="38" spans="2:26" x14ac:dyDescent="0.3">
      <c r="B38" s="5"/>
      <c r="M38" s="4"/>
      <c r="O38" s="5"/>
      <c r="Z38" s="4"/>
    </row>
    <row r="39" spans="2:26" x14ac:dyDescent="0.3">
      <c r="B39" s="5"/>
      <c r="M39" s="4"/>
      <c r="O39" s="5"/>
      <c r="Z39" s="4"/>
    </row>
    <row r="40" spans="2:26" x14ac:dyDescent="0.3">
      <c r="B40" s="5"/>
      <c r="M40" s="4"/>
      <c r="O40" s="5"/>
      <c r="Z40" s="4"/>
    </row>
    <row r="41" spans="2:26" x14ac:dyDescent="0.3">
      <c r="B41" s="5"/>
      <c r="M41" s="4"/>
      <c r="O41" s="5"/>
      <c r="Z41" s="4"/>
    </row>
    <row r="42" spans="2:26" x14ac:dyDescent="0.3">
      <c r="B42" s="5"/>
      <c r="M42" s="4"/>
      <c r="O42" s="5"/>
      <c r="Z42" s="4"/>
    </row>
    <row r="43" spans="2:26" x14ac:dyDescent="0.3">
      <c r="B43" s="5"/>
      <c r="M43" s="4"/>
      <c r="O43" s="5"/>
      <c r="Z43" s="4"/>
    </row>
    <row r="44" spans="2:26" x14ac:dyDescent="0.3">
      <c r="B44" s="5"/>
      <c r="M44" s="4"/>
      <c r="O44" s="5"/>
      <c r="Z44" s="4"/>
    </row>
    <row r="45" spans="2:26" x14ac:dyDescent="0.3">
      <c r="B45" s="5"/>
      <c r="M45" s="4"/>
      <c r="O45" s="5"/>
      <c r="Z45" s="4"/>
    </row>
    <row r="46" spans="2:26" x14ac:dyDescent="0.3">
      <c r="B46" s="22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4"/>
      <c r="O46" s="22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4"/>
    </row>
    <row r="49" spans="2:26" x14ac:dyDescent="0.3">
      <c r="B49" s="32" t="s">
        <v>48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O49" s="32" t="s">
        <v>48</v>
      </c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2:26" x14ac:dyDescent="0.3">
      <c r="B50" s="2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7"/>
      <c r="O50" s="25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7"/>
    </row>
    <row r="51" spans="2:26" x14ac:dyDescent="0.3">
      <c r="B51" s="5"/>
      <c r="M51" s="4"/>
      <c r="O51" s="5"/>
      <c r="Z51" s="4"/>
    </row>
    <row r="52" spans="2:26" x14ac:dyDescent="0.3">
      <c r="B52" s="5"/>
      <c r="M52" s="4"/>
      <c r="O52" s="5"/>
      <c r="Z52" s="4"/>
    </row>
    <row r="53" spans="2:26" x14ac:dyDescent="0.3">
      <c r="B53" s="5"/>
      <c r="M53" s="4"/>
      <c r="O53" s="5"/>
      <c r="Z53" s="4"/>
    </row>
    <row r="54" spans="2:26" x14ac:dyDescent="0.3">
      <c r="B54" s="5"/>
      <c r="M54" s="4"/>
      <c r="O54" s="5"/>
      <c r="Z54" s="4"/>
    </row>
    <row r="55" spans="2:26" x14ac:dyDescent="0.3">
      <c r="B55" s="5"/>
      <c r="M55" s="4"/>
      <c r="O55" s="5"/>
      <c r="Z55" s="4"/>
    </row>
    <row r="56" spans="2:26" x14ac:dyDescent="0.3">
      <c r="B56" s="5"/>
      <c r="M56" s="4"/>
      <c r="O56" s="5"/>
      <c r="Z56" s="4"/>
    </row>
    <row r="57" spans="2:26" x14ac:dyDescent="0.3">
      <c r="B57" s="5"/>
      <c r="M57" s="4"/>
      <c r="O57" s="5"/>
      <c r="Z57" s="4"/>
    </row>
    <row r="58" spans="2:26" x14ac:dyDescent="0.3">
      <c r="B58" s="5"/>
      <c r="M58" s="4"/>
      <c r="O58" s="5"/>
      <c r="Z58" s="4"/>
    </row>
    <row r="59" spans="2:26" x14ac:dyDescent="0.3">
      <c r="B59" s="5"/>
      <c r="M59" s="4"/>
      <c r="O59" s="5"/>
      <c r="Z59" s="4"/>
    </row>
    <row r="60" spans="2:26" x14ac:dyDescent="0.3">
      <c r="B60" s="5"/>
      <c r="M60" s="4"/>
      <c r="O60" s="5"/>
      <c r="Z60" s="4"/>
    </row>
    <row r="61" spans="2:26" x14ac:dyDescent="0.3">
      <c r="B61" s="5"/>
      <c r="M61" s="4"/>
      <c r="O61" s="5"/>
      <c r="Z61" s="4"/>
    </row>
    <row r="62" spans="2:26" x14ac:dyDescent="0.3">
      <c r="B62" s="22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4"/>
      <c r="O62" s="2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4"/>
    </row>
    <row r="65" spans="2:26" x14ac:dyDescent="0.3">
      <c r="B65" s="32" t="s">
        <v>47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O65" s="32" t="s">
        <v>47</v>
      </c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2:26" x14ac:dyDescent="0.3">
      <c r="B66" s="25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7"/>
      <c r="O66" s="25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7"/>
    </row>
    <row r="67" spans="2:26" x14ac:dyDescent="0.3">
      <c r="B67" s="5"/>
      <c r="M67" s="4"/>
      <c r="O67" s="5"/>
      <c r="Z67" s="4"/>
    </row>
    <row r="68" spans="2:26" x14ac:dyDescent="0.3">
      <c r="B68" s="5"/>
      <c r="M68" s="4"/>
      <c r="O68" s="5"/>
      <c r="Z68" s="4"/>
    </row>
    <row r="69" spans="2:26" x14ac:dyDescent="0.3">
      <c r="B69" s="5"/>
      <c r="M69" s="4"/>
      <c r="O69" s="5"/>
      <c r="Z69" s="4"/>
    </row>
    <row r="70" spans="2:26" x14ac:dyDescent="0.3">
      <c r="B70" s="5"/>
      <c r="M70" s="4"/>
      <c r="O70" s="5"/>
      <c r="Z70" s="4"/>
    </row>
    <row r="71" spans="2:26" x14ac:dyDescent="0.3">
      <c r="B71" s="5"/>
      <c r="M71" s="4"/>
      <c r="O71" s="5"/>
      <c r="Z71" s="4"/>
    </row>
    <row r="72" spans="2:26" x14ac:dyDescent="0.3">
      <c r="B72" s="5"/>
      <c r="M72" s="4"/>
      <c r="O72" s="5"/>
      <c r="Z72" s="4"/>
    </row>
    <row r="73" spans="2:26" x14ac:dyDescent="0.3">
      <c r="B73" s="5"/>
      <c r="M73" s="4"/>
      <c r="O73" s="5"/>
      <c r="Z73" s="4"/>
    </row>
    <row r="74" spans="2:26" x14ac:dyDescent="0.3">
      <c r="B74" s="5"/>
      <c r="M74" s="4"/>
      <c r="O74" s="5"/>
      <c r="Z74" s="4"/>
    </row>
    <row r="75" spans="2:26" x14ac:dyDescent="0.3">
      <c r="B75" s="5"/>
      <c r="M75" s="4"/>
      <c r="O75" s="5"/>
      <c r="Z75" s="4"/>
    </row>
    <row r="76" spans="2:26" x14ac:dyDescent="0.3">
      <c r="B76" s="5"/>
      <c r="M76" s="4"/>
      <c r="O76" s="5"/>
      <c r="Z76" s="4"/>
    </row>
    <row r="77" spans="2:26" x14ac:dyDescent="0.3">
      <c r="B77" s="5"/>
      <c r="M77" s="4"/>
      <c r="O77" s="5"/>
      <c r="Z77" s="4"/>
    </row>
    <row r="78" spans="2:26" x14ac:dyDescent="0.3">
      <c r="B78" s="22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4"/>
      <c r="O78" s="22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4"/>
    </row>
    <row r="80" spans="2:26" x14ac:dyDescent="0.3">
      <c r="B80" s="32" t="s">
        <v>49</v>
      </c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O80" s="32" t="s">
        <v>49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2:26" x14ac:dyDescent="0.3">
      <c r="B81" s="25" t="s">
        <v>50</v>
      </c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7"/>
      <c r="O81" s="25" t="s">
        <v>50</v>
      </c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7"/>
    </row>
    <row r="82" spans="2:26" x14ac:dyDescent="0.3">
      <c r="B82" s="5" t="s">
        <v>51</v>
      </c>
      <c r="M82" s="4"/>
      <c r="O82" s="5" t="s">
        <v>51</v>
      </c>
      <c r="Z82" s="4"/>
    </row>
    <row r="83" spans="2:26" x14ac:dyDescent="0.3">
      <c r="B83" s="5" t="s">
        <v>52</v>
      </c>
      <c r="M83" s="4"/>
      <c r="O83" s="5" t="s">
        <v>52</v>
      </c>
      <c r="Z83" s="4"/>
    </row>
    <row r="84" spans="2:26" x14ac:dyDescent="0.3">
      <c r="B84" s="5" t="s">
        <v>53</v>
      </c>
      <c r="M84" s="4"/>
      <c r="O84" s="5" t="s">
        <v>53</v>
      </c>
      <c r="Z84" s="4"/>
    </row>
    <row r="85" spans="2:26" x14ac:dyDescent="0.3">
      <c r="B85" s="5"/>
      <c r="M85" s="4"/>
      <c r="O85" s="5"/>
      <c r="Z85" s="4"/>
    </row>
    <row r="86" spans="2:26" x14ac:dyDescent="0.3">
      <c r="B86" s="5"/>
      <c r="M86" s="4"/>
      <c r="O86" s="5"/>
      <c r="Z86" s="4"/>
    </row>
    <row r="87" spans="2:26" x14ac:dyDescent="0.3">
      <c r="B87" s="5"/>
      <c r="M87" s="4"/>
      <c r="O87" s="5"/>
      <c r="Z87" s="4"/>
    </row>
    <row r="88" spans="2:26" x14ac:dyDescent="0.3">
      <c r="B88" s="5"/>
      <c r="M88" s="4"/>
      <c r="O88" s="5"/>
      <c r="Z88" s="4"/>
    </row>
    <row r="89" spans="2:26" x14ac:dyDescent="0.3">
      <c r="B89" s="5"/>
      <c r="M89" s="4"/>
      <c r="O89" s="5"/>
      <c r="Z89" s="4"/>
    </row>
    <row r="90" spans="2:26" x14ac:dyDescent="0.3">
      <c r="B90" s="5"/>
      <c r="M90" s="4"/>
      <c r="O90" s="5"/>
      <c r="Z90" s="4"/>
    </row>
    <row r="91" spans="2:26" x14ac:dyDescent="0.3">
      <c r="B91" s="5"/>
      <c r="M91" s="4"/>
      <c r="O91" s="5"/>
      <c r="Z91" s="4"/>
    </row>
    <row r="92" spans="2:26" x14ac:dyDescent="0.3">
      <c r="B92" s="5"/>
      <c r="M92" s="4"/>
      <c r="O92" s="5"/>
      <c r="Z92" s="4"/>
    </row>
    <row r="93" spans="2:26" x14ac:dyDescent="0.3">
      <c r="B93" s="22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4"/>
      <c r="O93" s="22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4"/>
    </row>
  </sheetData>
  <mergeCells count="18">
    <mergeCell ref="B6:M6"/>
    <mergeCell ref="O6:Z6"/>
    <mergeCell ref="B8:M8"/>
    <mergeCell ref="E9:M12"/>
    <mergeCell ref="O8:Z8"/>
    <mergeCell ref="R9:Z12"/>
    <mergeCell ref="B13:M13"/>
    <mergeCell ref="O13:Z13"/>
    <mergeCell ref="B21:M21"/>
    <mergeCell ref="O21:Z21"/>
    <mergeCell ref="B33:M33"/>
    <mergeCell ref="O33:Z33"/>
    <mergeCell ref="B49:M49"/>
    <mergeCell ref="O49:Z49"/>
    <mergeCell ref="B65:M65"/>
    <mergeCell ref="O65:Z65"/>
    <mergeCell ref="B80:M80"/>
    <mergeCell ref="O80:Z8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40437-DAD4-467A-873C-E376A4EC5658}">
  <dimension ref="A1"/>
  <sheetViews>
    <sheetView workbookViewId="0">
      <selection activeCell="D9" sqref="D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7B019-54EC-4FEE-90AA-A464A4146CB7}">
  <dimension ref="A1"/>
  <sheetViews>
    <sheetView workbookViewId="0">
      <selection activeCell="D9" sqref="D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530-85BA-4BC8-BDDA-C511A7E0AC33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EC0B5-DF14-4C07-A989-792A869FC5B8}">
  <dimension ref="A1"/>
  <sheetViews>
    <sheetView workbookViewId="0">
      <selection activeCell="B4" sqref="B4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Flexible Pavement Design</vt:lpstr>
      <vt:lpstr>Rigid Pavement Design</vt:lpstr>
      <vt:lpstr>Cost Estimation</vt:lpstr>
      <vt:lpstr>Cash Flow</vt:lpstr>
      <vt:lpstr>Financial Analysis</vt:lpstr>
      <vt:lpstr>Economic Analysis</vt:lpstr>
      <vt:lpstr>Risk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Khushdev Yogi</dc:creator>
  <cp:lastModifiedBy>Khushdev Yogi</cp:lastModifiedBy>
  <dcterms:created xsi:type="dcterms:W3CDTF">2015-06-05T18:17:20Z</dcterms:created>
  <dcterms:modified xsi:type="dcterms:W3CDTF">2024-04-25T12:27:57Z</dcterms:modified>
</cp:coreProperties>
</file>