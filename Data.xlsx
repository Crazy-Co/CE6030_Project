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MY COMPUTER\Yogi\Sem 6\CE6030\Project\"/>
    </mc:Choice>
  </mc:AlternateContent>
  <xr:revisionPtr revIDLastSave="0" documentId="13_ncr:1_{AFE5B651-8D2A-42A7-A895-681CC9DFB3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H17" i="1"/>
  <c r="C17" i="1"/>
  <c r="D16" i="1"/>
  <c r="E16" i="1"/>
  <c r="F16" i="1"/>
  <c r="G16" i="1"/>
  <c r="H16" i="1"/>
  <c r="C16" i="1"/>
  <c r="B7" i="1"/>
  <c r="B8" i="1" s="1"/>
  <c r="B9" i="1" s="1"/>
  <c r="B10" i="1" s="1"/>
  <c r="B11" i="1" s="1"/>
  <c r="B12" i="1" s="1"/>
  <c r="B13" i="1" s="1"/>
  <c r="B14" i="1" s="1"/>
  <c r="B15" i="1" s="1"/>
</calcChain>
</file>

<file path=xl/sharedStrings.xml><?xml version="1.0" encoding="utf-8"?>
<sst xmlns="http://schemas.openxmlformats.org/spreadsheetml/2006/main" count="24" uniqueCount="24">
  <si>
    <t>Bus</t>
  </si>
  <si>
    <t>Car</t>
  </si>
  <si>
    <t>Date</t>
  </si>
  <si>
    <t>Truck</t>
  </si>
  <si>
    <t>LCV</t>
  </si>
  <si>
    <t>MAV</t>
  </si>
  <si>
    <t>3 Axle</t>
  </si>
  <si>
    <t>Annexture 8 - Daily Tollable Toll Collection Traffic Count and Revenue Entry Details</t>
  </si>
  <si>
    <t>Direction - Mumbai to Pune</t>
  </si>
  <si>
    <t>Survey is conducted on  days of the week for 10 days on Khalapur Toll plaza</t>
  </si>
  <si>
    <t>Reference</t>
  </si>
  <si>
    <t>https://msrdc.in/Site/Upload/GR/Khalapur%20YCEW%20Feb%202016.pdf</t>
  </si>
  <si>
    <t>Average Traffic</t>
  </si>
  <si>
    <t>For calculation of VDF</t>
  </si>
  <si>
    <t xml:space="preserve">LDF = </t>
  </si>
  <si>
    <t xml:space="preserve">VDF = </t>
  </si>
  <si>
    <t xml:space="preserve">n (Design life in years) </t>
  </si>
  <si>
    <t>r (rate of traffic growth)</t>
  </si>
  <si>
    <t>Mix design parameters of bituminous layer: 3% air voids and 11.5% effective bitumen content</t>
  </si>
  <si>
    <t>Effective CBR of the subgrade = 9 %</t>
  </si>
  <si>
    <t xml:space="preserve"> (for three lane in each direction)</t>
  </si>
  <si>
    <t>% composition</t>
  </si>
  <si>
    <t>Truck- 2-axle trucks, MAV- Multi-axle (more than two axles) trucks, LCVs – Light Commercial Vehicles.</t>
  </si>
  <si>
    <t>Period - Feb,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</si>
</sst>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1" xfId="0" applyNumberFormat="1" applyBorder="1"/>
    <xf numFmtId="0" fontId="0" fillId="2" borderId="3" xfId="0" applyFill="1" applyBorder="1"/>
    <xf numFmtId="0" fontId="0" fillId="2" borderId="2" xfId="0" applyFill="1" applyBorder="1"/>
    <xf numFmtId="14" fontId="0" fillId="0" borderId="5" xfId="0" applyNumberFormat="1" applyBorder="1"/>
    <xf numFmtId="1" fontId="0" fillId="2" borderId="4" xfId="0" applyNumberFormat="1" applyFill="1" applyBorder="1"/>
    <xf numFmtId="0" fontId="0" fillId="2" borderId="0" xfId="0" applyFill="1"/>
    <xf numFmtId="9" fontId="0" fillId="0" borderId="0" xfId="1" applyFont="1"/>
    <xf numFmtId="14" fontId="0" fillId="0" borderId="0" xfId="0" applyNumberFormat="1" applyFill="1" applyBorder="1"/>
    <xf numFmtId="0" fontId="2" fillId="0" borderId="0" xfId="0" applyFont="1"/>
    <xf numFmtId="14" fontId="0" fillId="0" borderId="2" xfId="0" applyNumberFormat="1" applyBorder="1"/>
    <xf numFmtId="164" fontId="0" fillId="0" borderId="2" xfId="1" applyNumberFormat="1" applyFont="1" applyBorder="1"/>
    <xf numFmtId="164" fontId="0" fillId="0" borderId="6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6"/>
  <sheetViews>
    <sheetView tabSelected="1" workbookViewId="0">
      <selection activeCell="N19" sqref="N19"/>
    </sheetView>
  </sheetViews>
  <sheetFormatPr defaultRowHeight="14.4" x14ac:dyDescent="0.3"/>
  <cols>
    <col min="2" max="2" width="13.33203125" customWidth="1"/>
  </cols>
  <sheetData>
    <row r="2" spans="2:10" x14ac:dyDescent="0.3">
      <c r="B2" t="s">
        <v>7</v>
      </c>
      <c r="J2" t="s">
        <v>10</v>
      </c>
    </row>
    <row r="3" spans="2:10" x14ac:dyDescent="0.3">
      <c r="B3" t="s">
        <v>9</v>
      </c>
      <c r="J3" t="s">
        <v>11</v>
      </c>
    </row>
    <row r="4" spans="2:10" x14ac:dyDescent="0.3">
      <c r="B4" t="s">
        <v>8</v>
      </c>
      <c r="E4" t="s">
        <v>23</v>
      </c>
      <c r="J4" s="9" t="s">
        <v>22</v>
      </c>
    </row>
    <row r="5" spans="2:10" x14ac:dyDescent="0.3">
      <c r="B5" s="2" t="s">
        <v>2</v>
      </c>
      <c r="C5" s="3" t="s">
        <v>1</v>
      </c>
      <c r="D5" s="3" t="s">
        <v>0</v>
      </c>
      <c r="E5" s="3" t="s">
        <v>3</v>
      </c>
      <c r="F5" s="3" t="s">
        <v>4</v>
      </c>
      <c r="G5" s="3" t="s">
        <v>5</v>
      </c>
      <c r="H5" s="3" t="s">
        <v>6</v>
      </c>
      <c r="J5" s="6" t="s">
        <v>13</v>
      </c>
    </row>
    <row r="6" spans="2:10" x14ac:dyDescent="0.3">
      <c r="B6" s="1">
        <v>42401</v>
      </c>
      <c r="C6">
        <v>7461</v>
      </c>
      <c r="D6">
        <v>784</v>
      </c>
      <c r="E6">
        <v>602</v>
      </c>
      <c r="F6">
        <v>1362</v>
      </c>
      <c r="G6">
        <v>435</v>
      </c>
      <c r="H6">
        <v>385</v>
      </c>
    </row>
    <row r="7" spans="2:10" x14ac:dyDescent="0.3">
      <c r="B7" s="1">
        <f t="shared" ref="B7:B15" si="0">B6+3</f>
        <v>42404</v>
      </c>
      <c r="C7">
        <v>7683</v>
      </c>
      <c r="D7">
        <v>726</v>
      </c>
      <c r="E7">
        <v>639</v>
      </c>
      <c r="F7">
        <v>1493</v>
      </c>
      <c r="G7">
        <v>480</v>
      </c>
      <c r="H7">
        <v>494</v>
      </c>
    </row>
    <row r="8" spans="2:10" x14ac:dyDescent="0.3">
      <c r="B8" s="1">
        <f t="shared" si="0"/>
        <v>42407</v>
      </c>
      <c r="C8">
        <v>10262</v>
      </c>
      <c r="D8">
        <v>838</v>
      </c>
      <c r="E8">
        <v>342</v>
      </c>
      <c r="F8">
        <v>1027</v>
      </c>
      <c r="G8">
        <v>399</v>
      </c>
      <c r="H8">
        <v>275</v>
      </c>
    </row>
    <row r="9" spans="2:10" x14ac:dyDescent="0.3">
      <c r="B9" s="1">
        <f t="shared" si="0"/>
        <v>42410</v>
      </c>
      <c r="C9">
        <v>8160</v>
      </c>
      <c r="D9">
        <v>770</v>
      </c>
      <c r="E9">
        <v>617</v>
      </c>
      <c r="F9">
        <v>1469</v>
      </c>
      <c r="G9">
        <v>445</v>
      </c>
      <c r="H9">
        <v>511</v>
      </c>
    </row>
    <row r="10" spans="2:10" x14ac:dyDescent="0.3">
      <c r="B10" s="1">
        <f t="shared" si="0"/>
        <v>42413</v>
      </c>
      <c r="C10">
        <v>11548</v>
      </c>
      <c r="D10">
        <v>902</v>
      </c>
      <c r="E10">
        <v>679</v>
      </c>
      <c r="F10">
        <v>1577</v>
      </c>
      <c r="G10">
        <v>473</v>
      </c>
      <c r="H10">
        <v>520</v>
      </c>
    </row>
    <row r="11" spans="2:10" x14ac:dyDescent="0.3">
      <c r="B11" s="1">
        <f t="shared" si="0"/>
        <v>42416</v>
      </c>
      <c r="C11">
        <v>7580</v>
      </c>
      <c r="D11">
        <v>758</v>
      </c>
      <c r="E11">
        <v>649</v>
      </c>
      <c r="F11">
        <v>1406</v>
      </c>
      <c r="G11">
        <v>450</v>
      </c>
      <c r="H11">
        <v>477</v>
      </c>
    </row>
    <row r="12" spans="2:10" x14ac:dyDescent="0.3">
      <c r="B12" s="1">
        <f t="shared" si="0"/>
        <v>42419</v>
      </c>
      <c r="C12">
        <v>10122</v>
      </c>
      <c r="D12">
        <v>834</v>
      </c>
      <c r="E12">
        <v>526</v>
      </c>
      <c r="F12">
        <v>1428</v>
      </c>
      <c r="G12">
        <v>422</v>
      </c>
      <c r="H12">
        <v>414</v>
      </c>
    </row>
    <row r="13" spans="2:10" x14ac:dyDescent="0.3">
      <c r="B13" s="1">
        <f t="shared" si="0"/>
        <v>42422</v>
      </c>
      <c r="C13">
        <v>10011</v>
      </c>
      <c r="D13">
        <v>1036</v>
      </c>
      <c r="E13">
        <v>1042</v>
      </c>
      <c r="F13">
        <v>2023</v>
      </c>
      <c r="G13">
        <v>584</v>
      </c>
      <c r="H13">
        <v>597</v>
      </c>
    </row>
    <row r="14" spans="2:10" x14ac:dyDescent="0.3">
      <c r="B14" s="1">
        <f t="shared" si="0"/>
        <v>42425</v>
      </c>
      <c r="C14">
        <v>7793</v>
      </c>
      <c r="D14">
        <v>759</v>
      </c>
      <c r="E14">
        <v>652</v>
      </c>
      <c r="F14">
        <v>1467</v>
      </c>
      <c r="G14">
        <v>465</v>
      </c>
      <c r="H14">
        <v>479</v>
      </c>
    </row>
    <row r="15" spans="2:10" x14ac:dyDescent="0.3">
      <c r="B15" s="1">
        <f t="shared" si="0"/>
        <v>42428</v>
      </c>
      <c r="C15">
        <v>9911</v>
      </c>
      <c r="D15">
        <v>884</v>
      </c>
      <c r="E15">
        <v>382</v>
      </c>
      <c r="F15">
        <v>1098</v>
      </c>
      <c r="G15">
        <v>396</v>
      </c>
      <c r="H15">
        <v>309</v>
      </c>
    </row>
    <row r="16" spans="2:10" x14ac:dyDescent="0.3">
      <c r="B16" s="4" t="s">
        <v>12</v>
      </c>
      <c r="C16" s="5">
        <f>AVERAGE(C6:C15)</f>
        <v>9053.1</v>
      </c>
      <c r="D16" s="5">
        <f t="shared" ref="D16:H16" si="1">AVERAGE(D6:D15)</f>
        <v>829.1</v>
      </c>
      <c r="E16" s="5">
        <f t="shared" si="1"/>
        <v>613</v>
      </c>
      <c r="F16" s="5">
        <f t="shared" si="1"/>
        <v>1435</v>
      </c>
      <c r="G16" s="5">
        <f t="shared" si="1"/>
        <v>454.9</v>
      </c>
      <c r="H16" s="5">
        <f t="shared" si="1"/>
        <v>446.1</v>
      </c>
    </row>
    <row r="17" spans="2:8" x14ac:dyDescent="0.3">
      <c r="B17" s="10" t="s">
        <v>21</v>
      </c>
      <c r="C17" s="12">
        <f>C16/(SUM($C$16:$H$16))</f>
        <v>0.70555365047696239</v>
      </c>
      <c r="D17" s="11">
        <f t="shared" ref="D17:H17" si="2">D16/(SUM($C$16:$H$16))</f>
        <v>6.4615936155620668E-2</v>
      </c>
      <c r="E17" s="11">
        <f t="shared" si="2"/>
        <v>4.7774175447347092E-2</v>
      </c>
      <c r="F17" s="11">
        <f t="shared" si="2"/>
        <v>0.11183677286613879</v>
      </c>
      <c r="G17" s="11">
        <f t="shared" si="2"/>
        <v>3.5452646673732775E-2</v>
      </c>
      <c r="H17" s="11">
        <f t="shared" si="2"/>
        <v>3.4766818380198267E-2</v>
      </c>
    </row>
    <row r="21" spans="2:8" x14ac:dyDescent="0.3">
      <c r="B21" t="s">
        <v>15</v>
      </c>
    </row>
    <row r="22" spans="2:8" x14ac:dyDescent="0.3">
      <c r="B22" t="s">
        <v>14</v>
      </c>
      <c r="C22" s="7">
        <v>0.6</v>
      </c>
      <c r="D22" t="s">
        <v>20</v>
      </c>
    </row>
    <row r="23" spans="2:8" x14ac:dyDescent="0.3">
      <c r="B23" s="8" t="s">
        <v>16</v>
      </c>
      <c r="C23">
        <v>20</v>
      </c>
    </row>
    <row r="24" spans="2:8" x14ac:dyDescent="0.3">
      <c r="B24" s="8" t="s">
        <v>17</v>
      </c>
      <c r="C24" s="7">
        <v>0.05</v>
      </c>
    </row>
    <row r="25" spans="2:8" x14ac:dyDescent="0.3">
      <c r="B25" t="s">
        <v>18</v>
      </c>
    </row>
    <row r="26" spans="2:8" x14ac:dyDescent="0.3">
      <c r="B26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Khushdev Yogi</dc:creator>
  <cp:lastModifiedBy>Khushdev Yogi</cp:lastModifiedBy>
  <dcterms:created xsi:type="dcterms:W3CDTF">2015-06-05T18:17:20Z</dcterms:created>
  <dcterms:modified xsi:type="dcterms:W3CDTF">2024-04-24T20:39:35Z</dcterms:modified>
</cp:coreProperties>
</file>