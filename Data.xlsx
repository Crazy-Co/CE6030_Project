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Khushdev Yogi\Downloads\New folder\CE6030_Project\"/>
    </mc:Choice>
  </mc:AlternateContent>
  <xr:revisionPtr revIDLastSave="0" documentId="13_ncr:1_{249C3FA4-F2AC-44EE-902D-AA8EA789C01B}" xr6:coauthVersionLast="47" xr6:coauthVersionMax="47" xr10:uidLastSave="{00000000-0000-0000-0000-000000000000}"/>
  <bookViews>
    <workbookView xWindow="-108" yWindow="-108" windowWidth="23256" windowHeight="12456" activeTab="2" xr2:uid="{00000000-000D-0000-FFFF-FFFF00000000}"/>
  </bookViews>
  <sheets>
    <sheet name="Flexible Pavement Design" sheetId="1" r:id="rId1"/>
    <sheet name="Rigid Pavement Design" sheetId="2" r:id="rId2"/>
    <sheet name="Cost Estimation" sheetId="3" r:id="rId3"/>
    <sheet name="Cash Flow" sheetId="4" r:id="rId4"/>
    <sheet name="Financial Analysis" sheetId="5" r:id="rId5"/>
    <sheet name="Economic Analysis" sheetId="6" r:id="rId6"/>
    <sheet name="Risk Analysis" sheetId="7" r:id="rId7"/>
  </sheets>
  <definedNames>
    <definedName name="cbr">'Flexible Pavement Design'!$D$48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4" l="1"/>
  <c r="B14" i="3"/>
  <c r="C14" i="3"/>
  <c r="B15" i="3"/>
  <c r="C15" i="3"/>
  <c r="B16" i="3"/>
  <c r="C16" i="3"/>
  <c r="B17" i="3"/>
  <c r="C17" i="3"/>
  <c r="B18" i="3"/>
  <c r="C18" i="3"/>
  <c r="G72" i="1"/>
  <c r="F91" i="1"/>
  <c r="F92" i="1" s="1"/>
  <c r="C82" i="1" a="1"/>
  <c r="C82" i="1" s="1"/>
  <c r="C83" i="1" s="1"/>
  <c r="G75" i="1"/>
  <c r="G70" i="1"/>
  <c r="N35" i="1"/>
  <c r="N36" i="1" s="1"/>
  <c r="M35" i="1"/>
  <c r="M36" i="1" s="1"/>
  <c r="L35" i="1"/>
  <c r="L36" i="1" s="1"/>
  <c r="K35" i="1"/>
  <c r="K36" i="1" s="1"/>
  <c r="J35" i="1"/>
  <c r="J36" i="1" s="1"/>
  <c r="I35" i="1"/>
  <c r="I36" i="1" s="1"/>
  <c r="H35" i="1"/>
  <c r="H36" i="1" s="1"/>
  <c r="G35" i="1"/>
  <c r="G36" i="1" s="1"/>
  <c r="F35" i="1"/>
  <c r="F36" i="1" s="1"/>
  <c r="E35" i="1"/>
  <c r="E36" i="1" s="1"/>
  <c r="E37" i="1" s="1"/>
  <c r="D35" i="1"/>
  <c r="D36" i="1" s="1"/>
  <c r="C35" i="1"/>
  <c r="C36" i="1" s="1"/>
  <c r="C37" i="1" s="1"/>
  <c r="P10" i="3"/>
  <c r="C10" i="3"/>
  <c r="D26" i="1"/>
  <c r="E38" i="1" s="1"/>
  <c r="E26" i="1"/>
  <c r="G38" i="1" s="1"/>
  <c r="F26" i="1"/>
  <c r="I38" i="1" s="1"/>
  <c r="G26" i="1"/>
  <c r="K38" i="1" s="1"/>
  <c r="H26" i="1"/>
  <c r="C26" i="1"/>
  <c r="B17" i="1"/>
  <c r="B18" i="1" s="1"/>
  <c r="B19" i="1" s="1"/>
  <c r="B20" i="1" s="1"/>
  <c r="B21" i="1" s="1"/>
  <c r="B22" i="1" s="1"/>
  <c r="B23" i="1" s="1"/>
  <c r="B24" i="1" s="1"/>
  <c r="B25" i="1" s="1"/>
  <c r="C39" i="1" l="1"/>
  <c r="C27" i="1"/>
  <c r="L44" i="1"/>
  <c r="C52" i="1" s="1"/>
  <c r="C38" i="1"/>
  <c r="M38" i="1"/>
  <c r="I37" i="1"/>
  <c r="G37" i="1"/>
  <c r="K37" i="1"/>
  <c r="M37" i="1"/>
  <c r="F27" i="1"/>
  <c r="H27" i="1"/>
  <c r="E27" i="1"/>
  <c r="G27" i="1"/>
  <c r="D27" i="1"/>
  <c r="D44" i="1" l="1"/>
  <c r="C54" i="1" s="1"/>
  <c r="C88" i="1" s="1"/>
  <c r="C9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<sst xmlns="http://schemas.openxmlformats.org/spreadsheetml/2006/main" count="145" uniqueCount="106">
  <si>
    <t>Bus</t>
  </si>
  <si>
    <t>Car</t>
  </si>
  <si>
    <t>Date</t>
  </si>
  <si>
    <t>Truck</t>
  </si>
  <si>
    <t>LCV</t>
  </si>
  <si>
    <t>MAV</t>
  </si>
  <si>
    <t>3 Axle</t>
  </si>
  <si>
    <t>Annexture 8 - Daily Tollable Toll Collection Traffic Count and Revenue Entry Details</t>
  </si>
  <si>
    <t>Reference</t>
  </si>
  <si>
    <t>https://msrdc.in/Site/Upload/GR/Khalapur%20YCEW%20Feb%202016.pdf</t>
  </si>
  <si>
    <t>Average Traffic</t>
  </si>
  <si>
    <t xml:space="preserve">n (Design life in years) </t>
  </si>
  <si>
    <t>% composition</t>
  </si>
  <si>
    <t>Traffic data</t>
  </si>
  <si>
    <t>Period</t>
  </si>
  <si>
    <t>Feb, 2016</t>
  </si>
  <si>
    <t>Toll Plaza</t>
  </si>
  <si>
    <t>Khalapur</t>
  </si>
  <si>
    <t>Source</t>
  </si>
  <si>
    <t>Direction</t>
  </si>
  <si>
    <t>Mumbai to Pune</t>
  </si>
  <si>
    <t>Remarks</t>
  </si>
  <si>
    <t>Axle load survey for 10 days on Khalapur toll plaza</t>
  </si>
  <si>
    <t>Dimensions</t>
  </si>
  <si>
    <t>Flexible Pavement</t>
  </si>
  <si>
    <t>Rigid Pavement</t>
  </si>
  <si>
    <t>Length (in km)</t>
  </si>
  <si>
    <t>Width (in m)</t>
  </si>
  <si>
    <t># The width of a single lane in multilane road is 3.5m. So for 6 lane is 3.5*6 = 21m. And the minimum width of paved shoulder is 1.5m and unpaved shoulder is 2m. So total width of shoulder on both sides including is 2*(1.5+2) = 7m. The minimum width of divider is 2.5m. The clearnce between lane and divider is 0.5 m thus for both sides total clearnce is 0.5*2 = 1m.</t>
  </si>
  <si>
    <t>Subgrade</t>
  </si>
  <si>
    <t>GSB</t>
  </si>
  <si>
    <t>Base (WMM)</t>
  </si>
  <si>
    <t>Thickness of each layer (in mm)</t>
  </si>
  <si>
    <t>PQC slab</t>
  </si>
  <si>
    <t>DLC</t>
  </si>
  <si>
    <t>GSB as Drainage layer</t>
  </si>
  <si>
    <t>GSB as Seperation layer</t>
  </si>
  <si>
    <t>Excavation cost</t>
  </si>
  <si>
    <t>Material Cost</t>
  </si>
  <si>
    <t>Maintenance Cost</t>
  </si>
  <si>
    <t>Construction Cost</t>
  </si>
  <si>
    <t>Results</t>
  </si>
  <si>
    <t>Initial cost</t>
  </si>
  <si>
    <t>Annual operation cost</t>
  </si>
  <si>
    <t>Maintenance cost</t>
  </si>
  <si>
    <t>Design life</t>
  </si>
  <si>
    <t>Calculation for VDF</t>
  </si>
  <si>
    <t>Average weight (in kg)</t>
  </si>
  <si>
    <t>Front axle</t>
  </si>
  <si>
    <t>Rear axle</t>
  </si>
  <si>
    <t>https://truckindia.co.in/m&amp;hcv-gvw-gcw-payload-unladen-weight-commercial-vehicle-category-english.html</t>
  </si>
  <si>
    <t>VDF</t>
  </si>
  <si>
    <t># All front axle are single axle with single wheel, Rear axle for car is single axle with single wheel, for bus is single axle with dual wheel, for truck is tandem axle, for LCV is single axle with single wheel, for MAV is tridem axle, for 3 Axle is tandem axle</t>
  </si>
  <si>
    <t>Total VDF</t>
  </si>
  <si>
    <t>Count</t>
  </si>
  <si>
    <t>Weighted Average VDF</t>
  </si>
  <si>
    <t>Axle load distribution</t>
  </si>
  <si>
    <t>LDF</t>
  </si>
  <si>
    <t>Design parameters</t>
  </si>
  <si>
    <t>r (rate of traffic growth annually)</t>
  </si>
  <si>
    <t>Effective CBR</t>
  </si>
  <si>
    <t># For three lane in each direction</t>
  </si>
  <si>
    <t>Poisson's ratio</t>
  </si>
  <si>
    <t>Axle type</t>
  </si>
  <si>
    <r>
      <t>M</t>
    </r>
    <r>
      <rPr>
        <sz val="8"/>
        <color theme="1"/>
        <rFont val="Calibri"/>
        <family val="2"/>
        <scheme val="minor"/>
      </rPr>
      <t>R</t>
    </r>
    <r>
      <rPr>
        <sz val="11"/>
        <color theme="1"/>
        <rFont val="Calibri"/>
        <family val="2"/>
        <scheme val="minor"/>
      </rPr>
      <t xml:space="preserve"> (in Mpa)</t>
    </r>
  </si>
  <si>
    <t>Granular Layers</t>
  </si>
  <si>
    <t>Construction Period (in years)</t>
  </si>
  <si>
    <t>CVPD in one direction</t>
  </si>
  <si>
    <t># As per IRC-37-2001</t>
  </si>
  <si>
    <t>Step 1 -&gt; Calculate the no of CVPD in the year of completion of construction</t>
  </si>
  <si>
    <t>A (in CVPD)</t>
  </si>
  <si>
    <t>Calculate the no of CVPD in the design life of 20 years</t>
  </si>
  <si>
    <t>N (in MSA)</t>
  </si>
  <si>
    <t>Design Process</t>
  </si>
  <si>
    <t>Step 2 -&gt; Choose the layer combinations (from IRC:37 catalogues)</t>
  </si>
  <si>
    <t>Layer</t>
  </si>
  <si>
    <t>Thickness (in mm)</t>
  </si>
  <si>
    <t>BC (Surface Layer)</t>
  </si>
  <si>
    <t>Binder coarse</t>
  </si>
  <si>
    <t># The reason for selecting higher binder thickness is higher traffic 50 MSA)</t>
  </si>
  <si>
    <t>Step 3 -&gt; Drawing system boundaries</t>
  </si>
  <si>
    <t>Bituminous layer</t>
  </si>
  <si>
    <t>Granular layer</t>
  </si>
  <si>
    <t>Subgrade layer</t>
  </si>
  <si>
    <t>Step 4 -&gt; Calculate Resilient modulus for all the layers and poisson's ratio</t>
  </si>
  <si>
    <t>Bituminous Layers</t>
  </si>
  <si>
    <r>
      <t>e</t>
    </r>
    <r>
      <rPr>
        <sz val="8"/>
        <color theme="1"/>
        <rFont val="Calibri Light"/>
        <family val="2"/>
        <scheme val="major"/>
      </rPr>
      <t>v</t>
    </r>
  </si>
  <si>
    <t>Step 5 -&gt; Calculate the Allowable strain values</t>
  </si>
  <si>
    <t>Calculate the Allowable vertical compressive strain values at top of subgrade for RUTTING Failure</t>
  </si>
  <si>
    <t>Calculate the allowable horizontal tensile strain values at bottom of bituminous layer for FATIGUE Failure</t>
  </si>
  <si>
    <t>C</t>
  </si>
  <si>
    <t>M</t>
  </si>
  <si>
    <r>
      <t>e</t>
    </r>
    <r>
      <rPr>
        <sz val="8"/>
        <color theme="1"/>
        <rFont val="Calibri Light"/>
        <family val="2"/>
        <scheme val="major"/>
      </rPr>
      <t>t</t>
    </r>
  </si>
  <si>
    <t>Step 6 -&gt; Calculate the Actual strain values using IITPAVE Software</t>
  </si>
  <si>
    <t>Surender sir slides</t>
  </si>
  <si>
    <t>Mix design parameters of bituminous layer</t>
  </si>
  <si>
    <t>Air voids</t>
  </si>
  <si>
    <t>Effective bitumen content</t>
  </si>
  <si>
    <t>Initial construction cost</t>
  </si>
  <si>
    <t>Routine maintenance cost</t>
  </si>
  <si>
    <t>Periodic maintenance cost</t>
  </si>
  <si>
    <t>Rehabiliation cost</t>
  </si>
  <si>
    <t>Salvage value</t>
  </si>
  <si>
    <t>Fuel cost</t>
  </si>
  <si>
    <t>Time saving benefits</t>
  </si>
  <si>
    <t>Harsh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</si>
</sst>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
    <numFmt numFmtId="167" formatCode="0.000E+00"/>
    <numFmt numFmtId="168" formatCode="0.0000"/>
  </numFmts>
  <fonts count="14" x14ac:knownFonts="1">
    <font>
      <sz val="11"/>
      <color theme="1"/>
      <name val="Calibri"/>
      <family val="2"/>
      <scheme val="minor"/>
    </font>
    <font>
      <sz val="11"/>
      <color theme="1"/>
      <name val="Calibri"/>
      <family val="2"/>
      <scheme val="minor"/>
    </font>
    <font>
      <sz val="10"/>
      <color theme="1"/>
      <name val="Times New Roman"/>
      <family val="1"/>
    </font>
    <font>
      <b/>
      <sz val="11"/>
      <color theme="1"/>
      <name val="Calibri"/>
      <family val="2"/>
      <scheme val="minor"/>
    </font>
    <font>
      <b/>
      <sz val="12"/>
      <color theme="0"/>
      <name val="Calibri"/>
      <family val="2"/>
      <scheme val="minor"/>
    </font>
    <font>
      <b/>
      <sz val="14"/>
      <color theme="0"/>
      <name val="Calibri"/>
      <family val="2"/>
      <scheme val="minor"/>
    </font>
    <font>
      <sz val="11"/>
      <color rgb="FFFF0000"/>
      <name val="Calibri"/>
      <family val="2"/>
      <scheme val="minor"/>
    </font>
    <font>
      <sz val="8"/>
      <color theme="1"/>
      <name val="Calibri"/>
      <family val="2"/>
      <scheme val="minor"/>
    </font>
    <font>
      <sz val="16"/>
      <color theme="0"/>
      <name val="Calibri"/>
      <family val="2"/>
      <scheme val="minor"/>
    </font>
    <font>
      <sz val="16"/>
      <color theme="1"/>
      <name val="Calibri"/>
      <family val="2"/>
      <scheme val="minor"/>
    </font>
    <font>
      <sz val="14"/>
      <color theme="1"/>
      <name val="Calibri"/>
      <family val="2"/>
      <scheme val="minor"/>
    </font>
    <font>
      <sz val="11"/>
      <color theme="1"/>
      <name val="Symbol"/>
      <family val="1"/>
      <charset val="2"/>
    </font>
    <font>
      <sz val="8"/>
      <color theme="1"/>
      <name val="Calibri Light"/>
      <family val="2"/>
      <scheme val="major"/>
    </font>
    <font>
      <b/>
      <sz val="11"/>
      <color theme="0"/>
      <name val="Calibri"/>
      <family val="2"/>
      <scheme val="minor"/>
    </font>
  </fonts>
  <fills count="8">
    <fill>
      <patternFill patternType="none"/>
    </fill>
    <fill>
      <patternFill patternType="gray125"/>
    </fill>
    <fill>
      <patternFill patternType="solid">
        <fgColor theme="2"/>
        <bgColor indexed="64"/>
      </patternFill>
    </fill>
    <fill>
      <patternFill patternType="solid">
        <fgColor rgb="FF002060"/>
        <bgColor indexed="64"/>
      </patternFill>
    </fill>
    <fill>
      <patternFill patternType="solid">
        <fgColor theme="0" tint="-4.9989318521683403E-2"/>
        <bgColor indexed="64"/>
      </patternFill>
    </fill>
    <fill>
      <patternFill patternType="gray0625">
        <bgColor theme="0" tint="-0.24994659260841701"/>
      </patternFill>
    </fill>
    <fill>
      <patternFill patternType="lightTrellis">
        <bgColor theme="5" tint="0.59996337778862885"/>
      </patternFill>
    </fill>
    <fill>
      <patternFill patternType="darkHorizontal">
        <bgColor rgb="FF642100"/>
      </patternFill>
    </fill>
  </fills>
  <borders count="16">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72">
    <xf numFmtId="0" fontId="0" fillId="0" borderId="0" xfId="0"/>
    <xf numFmtId="9" fontId="0" fillId="0" borderId="0" xfId="1" applyFont="1"/>
    <xf numFmtId="0" fontId="2" fillId="0" borderId="0" xfId="0" applyFont="1"/>
    <xf numFmtId="0" fontId="0" fillId="0" borderId="1" xfId="0" applyBorder="1"/>
    <xf numFmtId="0" fontId="0" fillId="0" borderId="7" xfId="0" applyBorder="1"/>
    <xf numFmtId="0" fontId="0" fillId="0" borderId="8" xfId="0" applyBorder="1"/>
    <xf numFmtId="0" fontId="4" fillId="3" borderId="3" xfId="0" applyFont="1" applyFill="1" applyBorder="1" applyAlignment="1">
      <alignment horizontal="center" vertical="center"/>
    </xf>
    <xf numFmtId="0" fontId="4" fillId="3" borderId="2" xfId="0" applyFont="1" applyFill="1" applyBorder="1" applyAlignment="1">
      <alignment horizontal="center" vertical="center"/>
    </xf>
    <xf numFmtId="1" fontId="0" fillId="2" borderId="4" xfId="0" applyNumberFormat="1" applyFill="1" applyBorder="1" applyAlignment="1">
      <alignment horizontal="center" vertical="center"/>
    </xf>
    <xf numFmtId="164" fontId="0" fillId="0" borderId="6" xfId="1" applyNumberFormat="1" applyFont="1" applyBorder="1" applyAlignment="1">
      <alignment horizontal="center" vertical="center"/>
    </xf>
    <xf numFmtId="164" fontId="0" fillId="0" borderId="2" xfId="1" applyNumberFormat="1" applyFont="1" applyBorder="1" applyAlignment="1">
      <alignment horizontal="center" vertical="center"/>
    </xf>
    <xf numFmtId="14" fontId="0" fillId="0" borderId="9" xfId="0" applyNumberForma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4" fontId="0" fillId="0" borderId="10" xfId="0" applyNumberFormat="1" applyBorder="1" applyAlignment="1">
      <alignment horizontal="center"/>
    </xf>
    <xf numFmtId="0" fontId="0" fillId="0" borderId="0" xfId="0" applyAlignment="1">
      <alignment horizontal="center"/>
    </xf>
    <xf numFmtId="0" fontId="0" fillId="0" borderId="1" xfId="0" applyBorder="1" applyAlignment="1">
      <alignment horizontal="center"/>
    </xf>
    <xf numFmtId="14" fontId="0" fillId="0" borderId="9" xfId="0" applyNumberFormat="1" applyBorder="1" applyAlignment="1">
      <alignment horizontal="center" vertical="center"/>
    </xf>
    <xf numFmtId="1" fontId="0" fillId="2" borderId="5" xfId="0" applyNumberFormat="1" applyFill="1" applyBorder="1" applyAlignment="1">
      <alignment horizontal="center" vertical="center"/>
    </xf>
    <xf numFmtId="14" fontId="0" fillId="0" borderId="6" xfId="0" applyNumberFormat="1" applyBorder="1" applyAlignment="1">
      <alignment horizontal="center" vertical="center"/>
    </xf>
    <xf numFmtId="164" fontId="0" fillId="0" borderId="3" xfId="1" applyNumberFormat="1" applyFont="1" applyBorder="1" applyAlignment="1">
      <alignment horizontal="center" vertical="center"/>
    </xf>
    <xf numFmtId="0" fontId="0" fillId="0" borderId="6" xfId="0" applyBorder="1"/>
    <xf numFmtId="0" fontId="0" fillId="0" borderId="2" xfId="0" applyBorder="1"/>
    <xf numFmtId="0" fontId="0" fillId="0" borderId="3" xfId="0" applyBorder="1"/>
    <xf numFmtId="0" fontId="0" fillId="0" borderId="14" xfId="0" applyBorder="1"/>
    <xf numFmtId="0" fontId="0" fillId="0" borderId="4" xfId="0" applyBorder="1"/>
    <xf numFmtId="0" fontId="0" fillId="0" borderId="5" xfId="0" applyBorder="1"/>
    <xf numFmtId="1" fontId="0" fillId="0" borderId="0" xfId="0" applyNumberFormat="1"/>
    <xf numFmtId="0" fontId="0" fillId="4" borderId="0" xfId="0" applyFill="1"/>
    <xf numFmtId="0" fontId="0" fillId="4" borderId="11" xfId="0" applyFill="1" applyBorder="1"/>
    <xf numFmtId="0" fontId="0" fillId="0" borderId="10" xfId="0" applyBorder="1"/>
    <xf numFmtId="1" fontId="0" fillId="0" borderId="0" xfId="1" applyNumberFormat="1" applyFont="1"/>
    <xf numFmtId="2" fontId="0" fillId="0" borderId="10" xfId="0" applyNumberFormat="1" applyBorder="1"/>
    <xf numFmtId="2" fontId="0" fillId="0" borderId="0" xfId="0" applyNumberFormat="1"/>
    <xf numFmtId="164" fontId="0" fillId="0" borderId="0" xfId="1" applyNumberFormat="1" applyFont="1"/>
    <xf numFmtId="0" fontId="6" fillId="0" borderId="0" xfId="0" applyFont="1"/>
    <xf numFmtId="0" fontId="0" fillId="0" borderId="9" xfId="0" applyBorder="1"/>
    <xf numFmtId="166" fontId="0" fillId="0" borderId="8" xfId="0" applyNumberFormat="1" applyBorder="1"/>
    <xf numFmtId="2" fontId="0" fillId="0" borderId="9" xfId="0" applyNumberFormat="1" applyBorder="1"/>
    <xf numFmtId="2" fontId="0" fillId="0" borderId="15" xfId="0" applyNumberFormat="1" applyBorder="1"/>
    <xf numFmtId="9" fontId="0" fillId="0" borderId="0" xfId="1" applyFont="1" applyBorder="1"/>
    <xf numFmtId="168" fontId="0" fillId="0" borderId="10" xfId="0" applyNumberFormat="1" applyBorder="1"/>
    <xf numFmtId="0" fontId="11" fillId="0" borderId="8" xfId="0" applyFont="1" applyBorder="1"/>
    <xf numFmtId="167" fontId="0" fillId="0" borderId="8" xfId="0" applyNumberFormat="1" applyBorder="1"/>
    <xf numFmtId="0" fontId="0" fillId="0" borderId="11" xfId="0" applyBorder="1"/>
    <xf numFmtId="0" fontId="0" fillId="0" borderId="12" xfId="0" applyBorder="1"/>
    <xf numFmtId="0" fontId="0" fillId="0" borderId="13" xfId="0" applyBorder="1"/>
    <xf numFmtId="0" fontId="4" fillId="3" borderId="2" xfId="0" applyFont="1" applyFill="1" applyBorder="1" applyAlignment="1">
      <alignment horizontal="center" vertical="center"/>
    </xf>
    <xf numFmtId="0" fontId="0" fillId="0" borderId="8" xfId="0" applyBorder="1" applyAlignment="1">
      <alignment horizontal="center"/>
    </xf>
    <xf numFmtId="0" fontId="4" fillId="3" borderId="0" xfId="0" applyFont="1" applyFill="1" applyAlignment="1">
      <alignment horizontal="center" vertical="center"/>
    </xf>
    <xf numFmtId="0" fontId="9" fillId="0" borderId="8" xfId="0" applyFont="1" applyBorder="1" applyAlignment="1">
      <alignment horizontal="center" vertical="center"/>
    </xf>
    <xf numFmtId="0" fontId="0" fillId="0" borderId="1" xfId="0" applyBorder="1"/>
    <xf numFmtId="165" fontId="0" fillId="0" borderId="8" xfId="0" applyNumberFormat="1" applyBorder="1" applyAlignment="1">
      <alignment horizontal="center"/>
    </xf>
    <xf numFmtId="1" fontId="0" fillId="0" borderId="8" xfId="0" applyNumberFormat="1" applyBorder="1" applyAlignment="1">
      <alignment horizontal="center"/>
    </xf>
    <xf numFmtId="0" fontId="0" fillId="0" borderId="0" xfId="0"/>
    <xf numFmtId="2" fontId="0" fillId="4" borderId="11" xfId="0" applyNumberFormat="1" applyFill="1" applyBorder="1" applyAlignment="1">
      <alignment horizontal="left"/>
    </xf>
    <xf numFmtId="2" fontId="0" fillId="4" borderId="12" xfId="0" applyNumberFormat="1" applyFill="1" applyBorder="1" applyAlignment="1">
      <alignment horizontal="left"/>
    </xf>
    <xf numFmtId="2" fontId="0" fillId="4" borderId="13" xfId="0" applyNumberFormat="1" applyFill="1" applyBorder="1" applyAlignment="1">
      <alignment horizontal="left"/>
    </xf>
    <xf numFmtId="0" fontId="6" fillId="4" borderId="0" xfId="0" applyFont="1" applyFill="1" applyAlignment="1">
      <alignment horizontal="left"/>
    </xf>
    <xf numFmtId="14" fontId="0" fillId="0" borderId="1" xfId="0" applyNumberFormat="1" applyBorder="1"/>
    <xf numFmtId="0" fontId="10" fillId="0" borderId="8" xfId="0" applyFont="1" applyBorder="1" applyAlignment="1">
      <alignment horizontal="center"/>
    </xf>
    <xf numFmtId="0" fontId="8" fillId="7" borderId="8" xfId="0" applyFont="1" applyFill="1" applyBorder="1" applyAlignment="1">
      <alignment horizontal="center" vertical="center"/>
    </xf>
    <xf numFmtId="0" fontId="9" fillId="5" borderId="8" xfId="0" applyFont="1" applyFill="1" applyBorder="1" applyAlignment="1">
      <alignment horizontal="center" vertical="center"/>
    </xf>
    <xf numFmtId="0" fontId="9" fillId="6" borderId="8" xfId="0" applyFont="1" applyFill="1" applyBorder="1" applyAlignment="1">
      <alignment horizontal="center" vertical="center"/>
    </xf>
    <xf numFmtId="0" fontId="5" fillId="3" borderId="0" xfId="0" applyFont="1" applyFill="1" applyAlignment="1">
      <alignment horizontal="center" vertical="center"/>
    </xf>
    <xf numFmtId="0" fontId="3" fillId="4" borderId="0" xfId="0" applyFont="1" applyFill="1" applyAlignment="1">
      <alignment horizontal="center"/>
    </xf>
    <xf numFmtId="0" fontId="0" fillId="0" borderId="4" xfId="0" applyBorder="1" applyAlignment="1">
      <alignment wrapText="1"/>
    </xf>
    <xf numFmtId="0" fontId="0" fillId="0" borderId="5" xfId="0" applyBorder="1" applyAlignment="1">
      <alignment wrapText="1"/>
    </xf>
    <xf numFmtId="0" fontId="0" fillId="0" borderId="0" xfId="0" applyAlignment="1">
      <alignment wrapText="1"/>
    </xf>
    <xf numFmtId="0" fontId="0" fillId="0" borderId="1" xfId="0" applyBorder="1" applyAlignment="1">
      <alignment wrapText="1"/>
    </xf>
    <xf numFmtId="0" fontId="0" fillId="0" borderId="7" xfId="0" applyBorder="1"/>
    <xf numFmtId="0" fontId="13" fillId="3"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642100"/>
      <color rgb="FF822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xdr:row>
      <xdr:rowOff>18000</xdr:rowOff>
    </xdr:to>
    <xdr:sp macro="" textlink="">
      <xdr:nvSpPr>
        <xdr:cNvPr id="3" name="Rectangle 2">
          <a:extLst>
            <a:ext uri="{FF2B5EF4-FFF2-40B4-BE49-F238E27FC236}">
              <a16:creationId xmlns:a16="http://schemas.microsoft.com/office/drawing/2014/main" id="{9D1761D5-0FA9-4523-9089-B3E2106772A3}"/>
            </a:ext>
          </a:extLst>
        </xdr:cNvPr>
        <xdr:cNvSpPr/>
      </xdr:nvSpPr>
      <xdr:spPr>
        <a:xfrm>
          <a:off x="0" y="0"/>
          <a:ext cx="17442264" cy="570659"/>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Design</a:t>
          </a:r>
          <a:r>
            <a:rPr lang="en-IN" sz="2000" b="1" baseline="0"/>
            <a:t> of Flexible Pavement</a:t>
          </a:r>
          <a:endParaRPr lang="en-IN" sz="2000" b="1"/>
        </a:p>
      </xdr:txBody>
    </xdr:sp>
    <xdr:clientData/>
  </xdr:twoCellAnchor>
  <xdr:twoCellAnchor editAs="oneCell">
    <xdr:from>
      <xdr:col>1</xdr:col>
      <xdr:colOff>0</xdr:colOff>
      <xdr:row>66</xdr:row>
      <xdr:rowOff>0</xdr:rowOff>
    </xdr:from>
    <xdr:to>
      <xdr:col>3</xdr:col>
      <xdr:colOff>324277</xdr:colOff>
      <xdr:row>78</xdr:row>
      <xdr:rowOff>77932</xdr:rowOff>
    </xdr:to>
    <xdr:pic>
      <xdr:nvPicPr>
        <xdr:cNvPr id="5" name="Picture 4">
          <a:extLst>
            <a:ext uri="{FF2B5EF4-FFF2-40B4-BE49-F238E27FC236}">
              <a16:creationId xmlns:a16="http://schemas.microsoft.com/office/drawing/2014/main" id="{D7A1BD80-0870-4EED-B12F-9B53BFB138A8}"/>
            </a:ext>
          </a:extLst>
        </xdr:cNvPr>
        <xdr:cNvPicPr>
          <a:picLocks noChangeAspect="1"/>
        </xdr:cNvPicPr>
      </xdr:nvPicPr>
      <xdr:blipFill rotWithShape="1">
        <a:blip xmlns:r="http://schemas.openxmlformats.org/officeDocument/2006/relationships" r:embed="rId1"/>
        <a:srcRect l="5918"/>
        <a:stretch/>
      </xdr:blipFill>
      <xdr:spPr>
        <a:xfrm>
          <a:off x="606136" y="12088091"/>
          <a:ext cx="2878709" cy="2303318"/>
        </a:xfrm>
        <a:prstGeom prst="rect">
          <a:avLst/>
        </a:prstGeom>
      </xdr:spPr>
    </xdr:pic>
    <xdr:clientData/>
  </xdr:twoCellAnchor>
  <xdr:twoCellAnchor editAs="oneCell">
    <xdr:from>
      <xdr:col>8</xdr:col>
      <xdr:colOff>29536</xdr:colOff>
      <xdr:row>86</xdr:row>
      <xdr:rowOff>23628</xdr:rowOff>
    </xdr:from>
    <xdr:to>
      <xdr:col>12</xdr:col>
      <xdr:colOff>262760</xdr:colOff>
      <xdr:row>89</xdr:row>
      <xdr:rowOff>56267</xdr:rowOff>
    </xdr:to>
    <xdr:pic>
      <xdr:nvPicPr>
        <xdr:cNvPr id="10" name="Picture 9">
          <a:extLst>
            <a:ext uri="{FF2B5EF4-FFF2-40B4-BE49-F238E27FC236}">
              <a16:creationId xmlns:a16="http://schemas.microsoft.com/office/drawing/2014/main" id="{F0A9D744-53D1-42D2-9AF0-673D9354E53D}"/>
            </a:ext>
          </a:extLst>
        </xdr:cNvPr>
        <xdr:cNvPicPr>
          <a:picLocks noChangeAspect="1"/>
        </xdr:cNvPicPr>
      </xdr:nvPicPr>
      <xdr:blipFill>
        <a:blip xmlns:r="http://schemas.openxmlformats.org/officeDocument/2006/relationships" r:embed="rId2"/>
        <a:stretch>
          <a:fillRect/>
        </a:stretch>
      </xdr:blipFill>
      <xdr:spPr>
        <a:xfrm>
          <a:off x="7334226" y="15946800"/>
          <a:ext cx="2742568" cy="584433"/>
        </a:xfrm>
        <a:prstGeom prst="rect">
          <a:avLst/>
        </a:prstGeom>
      </xdr:spPr>
    </xdr:pic>
    <xdr:clientData/>
  </xdr:twoCellAnchor>
  <xdr:twoCellAnchor editAs="oneCell">
    <xdr:from>
      <xdr:col>8</xdr:col>
      <xdr:colOff>1</xdr:colOff>
      <xdr:row>89</xdr:row>
      <xdr:rowOff>1</xdr:rowOff>
    </xdr:from>
    <xdr:to>
      <xdr:col>12</xdr:col>
      <xdr:colOff>539103</xdr:colOff>
      <xdr:row>94</xdr:row>
      <xdr:rowOff>52552</xdr:rowOff>
    </xdr:to>
    <xdr:pic>
      <xdr:nvPicPr>
        <xdr:cNvPr id="11" name="Picture 10">
          <a:extLst>
            <a:ext uri="{FF2B5EF4-FFF2-40B4-BE49-F238E27FC236}">
              <a16:creationId xmlns:a16="http://schemas.microsoft.com/office/drawing/2014/main" id="{97FB90D3-236F-82B4-27C9-11B0EFB48EE9}"/>
            </a:ext>
          </a:extLst>
        </xdr:cNvPr>
        <xdr:cNvPicPr>
          <a:picLocks noChangeAspect="1"/>
        </xdr:cNvPicPr>
      </xdr:nvPicPr>
      <xdr:blipFill>
        <a:blip xmlns:r="http://schemas.openxmlformats.org/officeDocument/2006/relationships" r:embed="rId3"/>
        <a:stretch>
          <a:fillRect/>
        </a:stretch>
      </xdr:blipFill>
      <xdr:spPr>
        <a:xfrm>
          <a:off x="7304691" y="16474967"/>
          <a:ext cx="3048446" cy="972206"/>
        </a:xfrm>
        <a:prstGeom prst="rect">
          <a:avLst/>
        </a:prstGeom>
      </xdr:spPr>
    </xdr:pic>
    <xdr:clientData/>
  </xdr:twoCellAnchor>
  <xdr:twoCellAnchor editAs="oneCell">
    <xdr:from>
      <xdr:col>9</xdr:col>
      <xdr:colOff>0</xdr:colOff>
      <xdr:row>6</xdr:row>
      <xdr:rowOff>0</xdr:rowOff>
    </xdr:from>
    <xdr:to>
      <xdr:col>17</xdr:col>
      <xdr:colOff>17966</xdr:colOff>
      <xdr:row>19</xdr:row>
      <xdr:rowOff>17517</xdr:rowOff>
    </xdr:to>
    <xdr:pic>
      <xdr:nvPicPr>
        <xdr:cNvPr id="12" name="Picture 11">
          <a:extLst>
            <a:ext uri="{FF2B5EF4-FFF2-40B4-BE49-F238E27FC236}">
              <a16:creationId xmlns:a16="http://schemas.microsoft.com/office/drawing/2014/main" id="{7B136BBB-E727-4A27-88E1-B77411B15B5B}"/>
            </a:ext>
          </a:extLst>
        </xdr:cNvPr>
        <xdr:cNvPicPr>
          <a:picLocks noChangeAspect="1"/>
        </xdr:cNvPicPr>
      </xdr:nvPicPr>
      <xdr:blipFill>
        <a:blip xmlns:r="http://schemas.openxmlformats.org/officeDocument/2006/relationships" r:embed="rId4"/>
        <a:stretch>
          <a:fillRect/>
        </a:stretch>
      </xdr:blipFill>
      <xdr:spPr>
        <a:xfrm>
          <a:off x="7917793" y="1121103"/>
          <a:ext cx="5001621" cy="2426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364761</xdr:colOff>
      <xdr:row>3</xdr:row>
      <xdr:rowOff>31491</xdr:rowOff>
    </xdr:to>
    <xdr:sp macro="" textlink="">
      <xdr:nvSpPr>
        <xdr:cNvPr id="2" name="Rectangle 1">
          <a:extLst>
            <a:ext uri="{FF2B5EF4-FFF2-40B4-BE49-F238E27FC236}">
              <a16:creationId xmlns:a16="http://schemas.microsoft.com/office/drawing/2014/main" id="{739802D3-0187-41F6-B3A6-DDE40C404CC1}"/>
            </a:ext>
          </a:extLst>
        </xdr:cNvPr>
        <xdr:cNvSpPr/>
      </xdr:nvSpPr>
      <xdr:spPr>
        <a:xfrm>
          <a:off x="0" y="0"/>
          <a:ext cx="16214361" cy="58013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Design</a:t>
          </a:r>
          <a:r>
            <a:rPr lang="en-IN" sz="2000" b="1" baseline="0"/>
            <a:t> of Rigid Pavement</a:t>
          </a:r>
          <a:endParaRPr lang="en-IN" sz="2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364761</xdr:colOff>
      <xdr:row>3</xdr:row>
      <xdr:rowOff>31491</xdr:rowOff>
    </xdr:to>
    <xdr:sp macro="" textlink="">
      <xdr:nvSpPr>
        <xdr:cNvPr id="2" name="Rectangle 1">
          <a:extLst>
            <a:ext uri="{FF2B5EF4-FFF2-40B4-BE49-F238E27FC236}">
              <a16:creationId xmlns:a16="http://schemas.microsoft.com/office/drawing/2014/main" id="{DAB90DDD-05E2-473C-98C5-FC658E6CFB23}"/>
            </a:ext>
          </a:extLst>
        </xdr:cNvPr>
        <xdr:cNvSpPr/>
      </xdr:nvSpPr>
      <xdr:spPr>
        <a:xfrm>
          <a:off x="0" y="0"/>
          <a:ext cx="16214361" cy="58013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Cost</a:t>
          </a:r>
          <a:r>
            <a:rPr lang="en-IN" sz="2000" b="1" baseline="0"/>
            <a:t> Estimation</a:t>
          </a:r>
          <a:endParaRPr lang="en-IN"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364761</xdr:colOff>
      <xdr:row>3</xdr:row>
      <xdr:rowOff>31491</xdr:rowOff>
    </xdr:to>
    <xdr:sp macro="" textlink="">
      <xdr:nvSpPr>
        <xdr:cNvPr id="2" name="Rectangle 1">
          <a:extLst>
            <a:ext uri="{FF2B5EF4-FFF2-40B4-BE49-F238E27FC236}">
              <a16:creationId xmlns:a16="http://schemas.microsoft.com/office/drawing/2014/main" id="{A45E5B1D-5A60-4545-9F9A-7087F40FE9A8}"/>
            </a:ext>
          </a:extLst>
        </xdr:cNvPr>
        <xdr:cNvSpPr/>
      </xdr:nvSpPr>
      <xdr:spPr>
        <a:xfrm>
          <a:off x="0" y="0"/>
          <a:ext cx="16214361" cy="58013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Cash flow</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364761</xdr:colOff>
      <xdr:row>3</xdr:row>
      <xdr:rowOff>31491</xdr:rowOff>
    </xdr:to>
    <xdr:sp macro="" textlink="">
      <xdr:nvSpPr>
        <xdr:cNvPr id="2" name="Rectangle 1">
          <a:extLst>
            <a:ext uri="{FF2B5EF4-FFF2-40B4-BE49-F238E27FC236}">
              <a16:creationId xmlns:a16="http://schemas.microsoft.com/office/drawing/2014/main" id="{07C8A7EE-1360-40CB-8BA7-199883F94BED}"/>
            </a:ext>
          </a:extLst>
        </xdr:cNvPr>
        <xdr:cNvSpPr/>
      </xdr:nvSpPr>
      <xdr:spPr>
        <a:xfrm>
          <a:off x="0" y="0"/>
          <a:ext cx="16214361" cy="58013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Financial</a:t>
          </a:r>
          <a:r>
            <a:rPr lang="en-IN" sz="2000" b="1" baseline="0"/>
            <a:t> Analysis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364761</xdr:colOff>
      <xdr:row>3</xdr:row>
      <xdr:rowOff>31491</xdr:rowOff>
    </xdr:to>
    <xdr:sp macro="" textlink="">
      <xdr:nvSpPr>
        <xdr:cNvPr id="2" name="Rectangle 1">
          <a:extLst>
            <a:ext uri="{FF2B5EF4-FFF2-40B4-BE49-F238E27FC236}">
              <a16:creationId xmlns:a16="http://schemas.microsoft.com/office/drawing/2014/main" id="{C70AE805-437E-435E-BEB0-C8C71D5C9D39}"/>
            </a:ext>
          </a:extLst>
        </xdr:cNvPr>
        <xdr:cNvSpPr/>
      </xdr:nvSpPr>
      <xdr:spPr>
        <a:xfrm>
          <a:off x="0" y="0"/>
          <a:ext cx="16214361" cy="58013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Economic Analysis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364761</xdr:colOff>
      <xdr:row>3</xdr:row>
      <xdr:rowOff>31491</xdr:rowOff>
    </xdr:to>
    <xdr:sp macro="" textlink="">
      <xdr:nvSpPr>
        <xdr:cNvPr id="2" name="Rectangle 1">
          <a:extLst>
            <a:ext uri="{FF2B5EF4-FFF2-40B4-BE49-F238E27FC236}">
              <a16:creationId xmlns:a16="http://schemas.microsoft.com/office/drawing/2014/main" id="{C78A780C-D640-483A-BF12-14847C1F79E6}"/>
            </a:ext>
          </a:extLst>
        </xdr:cNvPr>
        <xdr:cNvSpPr/>
      </xdr:nvSpPr>
      <xdr:spPr>
        <a:xfrm>
          <a:off x="0" y="0"/>
          <a:ext cx="16214361" cy="58013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t>Risk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Q95"/>
  <sheetViews>
    <sheetView topLeftCell="A81" zoomScale="105" workbookViewId="0">
      <selection activeCell="I70" sqref="I70"/>
    </sheetView>
  </sheetViews>
  <sheetFormatPr defaultRowHeight="14.4" x14ac:dyDescent="0.3"/>
  <cols>
    <col min="2" max="2" width="20.44140625" bestFit="1" customWidth="1"/>
    <col min="3" max="3" width="16.77734375" bestFit="1" customWidth="1"/>
    <col min="4" max="4" width="12.88671875" bestFit="1" customWidth="1"/>
    <col min="5" max="5" width="12.77734375" customWidth="1"/>
    <col min="6" max="6" width="11.77734375" customWidth="1"/>
    <col min="7" max="8" width="11.44140625" customWidth="1"/>
    <col min="11" max="11" width="10.109375" bestFit="1" customWidth="1"/>
    <col min="13" max="13" width="8.88671875" customWidth="1"/>
  </cols>
  <sheetData>
    <row r="6" spans="2:8" ht="15.6" x14ac:dyDescent="0.3">
      <c r="B6" s="47" t="s">
        <v>13</v>
      </c>
      <c r="C6" s="47"/>
      <c r="D6" s="47"/>
      <c r="E6" s="47"/>
      <c r="F6" s="47"/>
      <c r="G6" s="47"/>
      <c r="H6" s="47"/>
    </row>
    <row r="7" spans="2:8" x14ac:dyDescent="0.3">
      <c r="B7" s="5" t="s">
        <v>14</v>
      </c>
      <c r="C7" s="44" t="s">
        <v>15</v>
      </c>
      <c r="D7" s="45"/>
      <c r="E7" s="45"/>
      <c r="F7" s="45"/>
      <c r="G7" s="45"/>
      <c r="H7" s="46"/>
    </row>
    <row r="8" spans="2:8" x14ac:dyDescent="0.3">
      <c r="B8" s="5" t="s">
        <v>16</v>
      </c>
      <c r="C8" s="44" t="s">
        <v>17</v>
      </c>
      <c r="D8" s="45"/>
      <c r="E8" s="45"/>
      <c r="F8" s="45"/>
      <c r="G8" s="45"/>
      <c r="H8" s="46"/>
    </row>
    <row r="9" spans="2:8" x14ac:dyDescent="0.3">
      <c r="B9" s="5" t="s">
        <v>19</v>
      </c>
      <c r="C9" s="44" t="s">
        <v>20</v>
      </c>
      <c r="D9" s="45"/>
      <c r="E9" s="45"/>
      <c r="F9" s="45"/>
      <c r="G9" s="45"/>
      <c r="H9" s="46"/>
    </row>
    <row r="10" spans="2:8" x14ac:dyDescent="0.3">
      <c r="B10" s="5" t="s">
        <v>21</v>
      </c>
      <c r="C10" s="44" t="s">
        <v>22</v>
      </c>
      <c r="D10" s="45"/>
      <c r="E10" s="45"/>
      <c r="F10" s="45"/>
      <c r="G10" s="45"/>
      <c r="H10" s="46"/>
    </row>
    <row r="11" spans="2:8" x14ac:dyDescent="0.3">
      <c r="B11" s="5" t="s">
        <v>18</v>
      </c>
      <c r="C11" s="44" t="s">
        <v>7</v>
      </c>
      <c r="D11" s="45"/>
      <c r="E11" s="45"/>
      <c r="F11" s="45"/>
      <c r="G11" s="45"/>
      <c r="H11" s="46"/>
    </row>
    <row r="12" spans="2:8" x14ac:dyDescent="0.3">
      <c r="B12" s="5" t="s">
        <v>8</v>
      </c>
      <c r="C12" s="44" t="s">
        <v>9</v>
      </c>
      <c r="D12" s="45"/>
      <c r="E12" s="45"/>
      <c r="F12" s="45"/>
      <c r="G12" s="45"/>
      <c r="H12" s="46"/>
    </row>
    <row r="15" spans="2:8" ht="15.6" x14ac:dyDescent="0.3">
      <c r="B15" s="6" t="s">
        <v>2</v>
      </c>
      <c r="C15" s="7" t="s">
        <v>1</v>
      </c>
      <c r="D15" s="7" t="s">
        <v>0</v>
      </c>
      <c r="E15" s="7" t="s">
        <v>3</v>
      </c>
      <c r="F15" s="7" t="s">
        <v>4</v>
      </c>
      <c r="G15" s="7" t="s">
        <v>5</v>
      </c>
      <c r="H15" s="7" t="s">
        <v>6</v>
      </c>
    </row>
    <row r="16" spans="2:8" x14ac:dyDescent="0.3">
      <c r="B16" s="11">
        <v>42401</v>
      </c>
      <c r="C16" s="12">
        <v>7461</v>
      </c>
      <c r="D16" s="12">
        <v>784</v>
      </c>
      <c r="E16" s="12">
        <v>602</v>
      </c>
      <c r="F16" s="12">
        <v>1362</v>
      </c>
      <c r="G16" s="12">
        <v>435</v>
      </c>
      <c r="H16" s="13">
        <v>385</v>
      </c>
    </row>
    <row r="17" spans="2:17" x14ac:dyDescent="0.3">
      <c r="B17" s="14">
        <f t="shared" ref="B17:B25" si="0">B16+3</f>
        <v>42404</v>
      </c>
      <c r="C17" s="15">
        <v>7683</v>
      </c>
      <c r="D17" s="15">
        <v>726</v>
      </c>
      <c r="E17" s="15">
        <v>639</v>
      </c>
      <c r="F17" s="15">
        <v>1493</v>
      </c>
      <c r="G17" s="15">
        <v>480</v>
      </c>
      <c r="H17" s="16">
        <v>494</v>
      </c>
    </row>
    <row r="18" spans="2:17" x14ac:dyDescent="0.3">
      <c r="B18" s="14">
        <f t="shared" si="0"/>
        <v>42407</v>
      </c>
      <c r="C18" s="15">
        <v>10262</v>
      </c>
      <c r="D18" s="15">
        <v>838</v>
      </c>
      <c r="E18" s="15">
        <v>342</v>
      </c>
      <c r="F18" s="15">
        <v>1027</v>
      </c>
      <c r="G18" s="15">
        <v>399</v>
      </c>
      <c r="H18" s="16">
        <v>275</v>
      </c>
      <c r="L18" s="2"/>
    </row>
    <row r="19" spans="2:17" x14ac:dyDescent="0.3">
      <c r="B19" s="14">
        <f t="shared" si="0"/>
        <v>42410</v>
      </c>
      <c r="C19" s="15">
        <v>8160</v>
      </c>
      <c r="D19" s="15">
        <v>770</v>
      </c>
      <c r="E19" s="15">
        <v>617</v>
      </c>
      <c r="F19" s="15">
        <v>1469</v>
      </c>
      <c r="G19" s="15">
        <v>445</v>
      </c>
      <c r="H19" s="16">
        <v>511</v>
      </c>
    </row>
    <row r="20" spans="2:17" x14ac:dyDescent="0.3">
      <c r="B20" s="14">
        <f t="shared" si="0"/>
        <v>42413</v>
      </c>
      <c r="C20" s="15">
        <v>11548</v>
      </c>
      <c r="D20" s="15">
        <v>902</v>
      </c>
      <c r="E20" s="15">
        <v>679</v>
      </c>
      <c r="F20" s="15">
        <v>1577</v>
      </c>
      <c r="G20" s="15">
        <v>473</v>
      </c>
      <c r="H20" s="16">
        <v>520</v>
      </c>
    </row>
    <row r="21" spans="2:17" x14ac:dyDescent="0.3">
      <c r="B21" s="14">
        <f t="shared" si="0"/>
        <v>42416</v>
      </c>
      <c r="C21" s="15">
        <v>7580</v>
      </c>
      <c r="D21" s="15">
        <v>758</v>
      </c>
      <c r="E21" s="15">
        <v>649</v>
      </c>
      <c r="F21" s="15">
        <v>1406</v>
      </c>
      <c r="G21" s="15">
        <v>450</v>
      </c>
      <c r="H21" s="16">
        <v>477</v>
      </c>
    </row>
    <row r="22" spans="2:17" x14ac:dyDescent="0.3">
      <c r="B22" s="14">
        <f t="shared" si="0"/>
        <v>42419</v>
      </c>
      <c r="C22" s="15">
        <v>10122</v>
      </c>
      <c r="D22" s="15">
        <v>834</v>
      </c>
      <c r="E22" s="15">
        <v>526</v>
      </c>
      <c r="F22" s="15">
        <v>1428</v>
      </c>
      <c r="G22" s="15">
        <v>422</v>
      </c>
      <c r="H22" s="16">
        <v>414</v>
      </c>
    </row>
    <row r="23" spans="2:17" x14ac:dyDescent="0.3">
      <c r="B23" s="14">
        <f t="shared" si="0"/>
        <v>42422</v>
      </c>
      <c r="C23" s="15">
        <v>10011</v>
      </c>
      <c r="D23" s="15">
        <v>1036</v>
      </c>
      <c r="E23" s="15">
        <v>1042</v>
      </c>
      <c r="F23" s="15">
        <v>2023</v>
      </c>
      <c r="G23" s="15">
        <v>584</v>
      </c>
      <c r="H23" s="16">
        <v>597</v>
      </c>
    </row>
    <row r="24" spans="2:17" x14ac:dyDescent="0.3">
      <c r="B24" s="14">
        <f t="shared" si="0"/>
        <v>42425</v>
      </c>
      <c r="C24" s="15">
        <v>7793</v>
      </c>
      <c r="D24" s="15">
        <v>759</v>
      </c>
      <c r="E24" s="15">
        <v>652</v>
      </c>
      <c r="F24" s="15">
        <v>1467</v>
      </c>
      <c r="G24" s="15">
        <v>465</v>
      </c>
      <c r="H24" s="16">
        <v>479</v>
      </c>
    </row>
    <row r="25" spans="2:17" x14ac:dyDescent="0.3">
      <c r="B25" s="14">
        <f t="shared" si="0"/>
        <v>42428</v>
      </c>
      <c r="C25" s="15">
        <v>9911</v>
      </c>
      <c r="D25" s="15">
        <v>884</v>
      </c>
      <c r="E25" s="15">
        <v>382</v>
      </c>
      <c r="F25" s="15">
        <v>1098</v>
      </c>
      <c r="G25" s="15">
        <v>396</v>
      </c>
      <c r="H25" s="16">
        <v>309</v>
      </c>
    </row>
    <row r="26" spans="2:17" x14ac:dyDescent="0.3">
      <c r="B26" s="17" t="s">
        <v>10</v>
      </c>
      <c r="C26" s="8">
        <f>AVERAGE(C16:C25)</f>
        <v>9053.1</v>
      </c>
      <c r="D26" s="8">
        <f t="shared" ref="D26:H26" si="1">AVERAGE(D16:D25)</f>
        <v>829.1</v>
      </c>
      <c r="E26" s="8">
        <f t="shared" si="1"/>
        <v>613</v>
      </c>
      <c r="F26" s="8">
        <f t="shared" si="1"/>
        <v>1435</v>
      </c>
      <c r="G26" s="8">
        <f t="shared" si="1"/>
        <v>454.9</v>
      </c>
      <c r="H26" s="18">
        <f t="shared" si="1"/>
        <v>446.1</v>
      </c>
    </row>
    <row r="27" spans="2:17" x14ac:dyDescent="0.3">
      <c r="B27" s="19" t="s">
        <v>12</v>
      </c>
      <c r="C27" s="9">
        <f t="shared" ref="C27:H27" si="2">C26/(SUM($C$26:$H$26))</f>
        <v>0.70555365047696239</v>
      </c>
      <c r="D27" s="10">
        <f t="shared" si="2"/>
        <v>6.4615936155620668E-2</v>
      </c>
      <c r="E27" s="10">
        <f t="shared" si="2"/>
        <v>4.7774175447347092E-2</v>
      </c>
      <c r="F27" s="10">
        <f t="shared" si="2"/>
        <v>0.11183677286613879</v>
      </c>
      <c r="G27" s="10">
        <f t="shared" si="2"/>
        <v>3.5452646673732775E-2</v>
      </c>
      <c r="H27" s="20">
        <f t="shared" si="2"/>
        <v>3.4766818380198267E-2</v>
      </c>
    </row>
    <row r="30" spans="2:17" ht="15.6" x14ac:dyDescent="0.3">
      <c r="B30" s="49" t="s">
        <v>46</v>
      </c>
      <c r="C30" s="49"/>
      <c r="D30" s="49"/>
      <c r="E30" s="49"/>
      <c r="F30" s="49"/>
      <c r="G30" s="49"/>
      <c r="H30" s="49"/>
      <c r="I30" s="49"/>
      <c r="J30" s="49"/>
      <c r="K30" s="49"/>
      <c r="L30" s="49"/>
      <c r="M30" s="49"/>
      <c r="N30" s="49"/>
      <c r="O30" s="49"/>
      <c r="P30" s="49"/>
      <c r="Q30" s="49"/>
    </row>
    <row r="32" spans="2:17" x14ac:dyDescent="0.3">
      <c r="B32" s="24"/>
      <c r="C32" s="48" t="s">
        <v>1</v>
      </c>
      <c r="D32" s="48"/>
      <c r="E32" s="48" t="s">
        <v>0</v>
      </c>
      <c r="F32" s="48"/>
      <c r="G32" s="48" t="s">
        <v>3</v>
      </c>
      <c r="H32" s="48"/>
      <c r="I32" s="48" t="s">
        <v>4</v>
      </c>
      <c r="J32" s="48"/>
      <c r="K32" s="48" t="s">
        <v>5</v>
      </c>
      <c r="L32" s="48"/>
      <c r="M32" s="48" t="s">
        <v>6</v>
      </c>
      <c r="N32" s="48"/>
      <c r="P32" s="28" t="s">
        <v>8</v>
      </c>
    </row>
    <row r="33" spans="2:17" x14ac:dyDescent="0.3">
      <c r="B33" s="5" t="s">
        <v>47</v>
      </c>
      <c r="C33" s="48">
        <v>1700</v>
      </c>
      <c r="D33" s="48"/>
      <c r="E33" s="48">
        <v>10000</v>
      </c>
      <c r="F33" s="48"/>
      <c r="G33" s="48">
        <v>18500</v>
      </c>
      <c r="H33" s="48"/>
      <c r="I33" s="48">
        <v>5000</v>
      </c>
      <c r="J33" s="48"/>
      <c r="K33" s="48">
        <v>45500</v>
      </c>
      <c r="L33" s="48"/>
      <c r="M33" s="48">
        <v>28000</v>
      </c>
      <c r="N33" s="48"/>
      <c r="P33" t="s">
        <v>50</v>
      </c>
    </row>
    <row r="34" spans="2:17" x14ac:dyDescent="0.3">
      <c r="B34" s="5" t="s">
        <v>63</v>
      </c>
      <c r="C34" s="5" t="s">
        <v>48</v>
      </c>
      <c r="D34" s="5" t="s">
        <v>49</v>
      </c>
      <c r="E34" s="5" t="s">
        <v>48</v>
      </c>
      <c r="F34" s="5" t="s">
        <v>49</v>
      </c>
      <c r="G34" s="5" t="s">
        <v>48</v>
      </c>
      <c r="H34" s="5" t="s">
        <v>49</v>
      </c>
      <c r="I34" s="5" t="s">
        <v>48</v>
      </c>
      <c r="J34" s="5" t="s">
        <v>49</v>
      </c>
      <c r="K34" s="5" t="s">
        <v>48</v>
      </c>
      <c r="L34" s="5" t="s">
        <v>49</v>
      </c>
      <c r="M34" s="5" t="s">
        <v>48</v>
      </c>
      <c r="N34" s="5" t="s">
        <v>49</v>
      </c>
    </row>
    <row r="35" spans="2:17" x14ac:dyDescent="0.3">
      <c r="B35" s="5" t="s">
        <v>56</v>
      </c>
      <c r="C35" s="30">
        <f>$C$33/2</f>
        <v>850</v>
      </c>
      <c r="D35" s="30">
        <f>$C$33/2</f>
        <v>850</v>
      </c>
      <c r="E35" s="30">
        <f>$E$33/3</f>
        <v>3333.3333333333335</v>
      </c>
      <c r="F35" s="30">
        <f>$E$33*2/3</f>
        <v>6666.666666666667</v>
      </c>
      <c r="G35" s="30">
        <f>$G$33/5</f>
        <v>3700</v>
      </c>
      <c r="H35" s="30">
        <f>$G$33*4/5</f>
        <v>14800</v>
      </c>
      <c r="I35" s="30">
        <f>$I$33/2</f>
        <v>2500</v>
      </c>
      <c r="J35" s="30">
        <f>$I$33/2</f>
        <v>2500</v>
      </c>
      <c r="K35" s="30">
        <f>$K$33*2/5</f>
        <v>18200</v>
      </c>
      <c r="L35" s="30">
        <f>$K$33*3/5</f>
        <v>27300</v>
      </c>
      <c r="M35" s="30">
        <f>$M$33/4</f>
        <v>7000</v>
      </c>
      <c r="N35" s="30">
        <f>$M$33*3/4</f>
        <v>21000</v>
      </c>
      <c r="P35" t="s">
        <v>52</v>
      </c>
    </row>
    <row r="36" spans="2:17" x14ac:dyDescent="0.3">
      <c r="B36" s="5" t="s">
        <v>51</v>
      </c>
      <c r="C36" s="41">
        <f>(C35*10/1000/65)^4</f>
        <v>2.9243023703651833E-4</v>
      </c>
      <c r="D36" s="41">
        <f>(D35*10/1000/65)^4</f>
        <v>2.9243023703651833E-4</v>
      </c>
      <c r="E36" s="41">
        <f t="shared" ref="E36:M36" si="3">(E35*10/1000/65)^4</f>
        <v>6.9161046251017447E-2</v>
      </c>
      <c r="F36" s="41">
        <f>(F35*10/1000/80)^4</f>
        <v>0.48225308641975323</v>
      </c>
      <c r="G36" s="41">
        <f t="shared" si="3"/>
        <v>0.10499133783831098</v>
      </c>
      <c r="H36" s="41">
        <f>(H35*10/1000/148)^4</f>
        <v>1</v>
      </c>
      <c r="I36" s="41">
        <f t="shared" si="3"/>
        <v>2.1882987290360985E-2</v>
      </c>
      <c r="J36" s="41">
        <f t="shared" si="3"/>
        <v>2.1882987290360985E-2</v>
      </c>
      <c r="K36" s="41">
        <f t="shared" si="3"/>
        <v>61.465599999999981</v>
      </c>
      <c r="L36" s="41">
        <f>(L35*10/1000/224)^4</f>
        <v>2.2062692642211914</v>
      </c>
      <c r="M36" s="41">
        <f t="shared" si="3"/>
        <v>1.3450509435944118</v>
      </c>
      <c r="N36" s="41">
        <f>(N35*10/1000/148)^4</f>
        <v>4.0535013067180454</v>
      </c>
    </row>
    <row r="37" spans="2:17" x14ac:dyDescent="0.3">
      <c r="B37" s="5" t="s">
        <v>53</v>
      </c>
      <c r="C37" s="52">
        <f>C36+D36</f>
        <v>5.8486047407303667E-4</v>
      </c>
      <c r="D37" s="52"/>
      <c r="E37" s="52">
        <f>E36+F36</f>
        <v>0.55141413267077066</v>
      </c>
      <c r="F37" s="52"/>
      <c r="G37" s="52">
        <f>G36+H36</f>
        <v>1.1049913378383109</v>
      </c>
      <c r="H37" s="52"/>
      <c r="I37" s="52">
        <f>I36+J36</f>
        <v>4.376597458072197E-2</v>
      </c>
      <c r="J37" s="52"/>
      <c r="K37" s="52">
        <f>K36+L36</f>
        <v>63.671869264221172</v>
      </c>
      <c r="L37" s="52"/>
      <c r="M37" s="52">
        <f>M36+N36</f>
        <v>5.3985522503124574</v>
      </c>
      <c r="N37" s="52"/>
    </row>
    <row r="38" spans="2:17" x14ac:dyDescent="0.3">
      <c r="B38" s="5" t="s">
        <v>54</v>
      </c>
      <c r="C38" s="53">
        <f>C26</f>
        <v>9053.1</v>
      </c>
      <c r="D38" s="53"/>
      <c r="E38" s="53">
        <f>D26</f>
        <v>829.1</v>
      </c>
      <c r="F38" s="53"/>
      <c r="G38" s="53">
        <f>E26</f>
        <v>613</v>
      </c>
      <c r="H38" s="53"/>
      <c r="I38" s="53">
        <f>F26</f>
        <v>1435</v>
      </c>
      <c r="J38" s="53"/>
      <c r="K38" s="53">
        <f>G26</f>
        <v>454.9</v>
      </c>
      <c r="L38" s="53"/>
      <c r="M38" s="53">
        <f>H26</f>
        <v>446.1</v>
      </c>
      <c r="N38" s="53"/>
    </row>
    <row r="39" spans="2:17" x14ac:dyDescent="0.3">
      <c r="B39" s="29" t="s">
        <v>55</v>
      </c>
      <c r="C39" s="55">
        <f>(C37*C38+E37*E38+G37*G38+I37*I38+K37*K38+M37*M38)/SUM(C38:M38)</f>
        <v>2.5387542559177616</v>
      </c>
      <c r="D39" s="56"/>
      <c r="E39" s="56"/>
      <c r="F39" s="56"/>
      <c r="G39" s="56"/>
      <c r="H39" s="56"/>
      <c r="I39" s="56"/>
      <c r="J39" s="56"/>
      <c r="K39" s="56"/>
      <c r="L39" s="56"/>
      <c r="M39" s="56"/>
      <c r="N39" s="57"/>
    </row>
    <row r="42" spans="2:17" ht="15.6" x14ac:dyDescent="0.3">
      <c r="B42" s="49" t="s">
        <v>58</v>
      </c>
      <c r="C42" s="49"/>
      <c r="D42" s="49"/>
      <c r="E42" s="49"/>
      <c r="F42" s="49"/>
      <c r="G42" s="49"/>
      <c r="H42" s="49"/>
      <c r="I42" s="49"/>
      <c r="J42" s="49"/>
      <c r="K42" s="49"/>
      <c r="L42" s="49"/>
      <c r="M42" s="49"/>
      <c r="N42" s="49"/>
      <c r="O42" s="49"/>
      <c r="P42" s="49"/>
      <c r="Q42" s="49"/>
    </row>
    <row r="44" spans="2:17" x14ac:dyDescent="0.3">
      <c r="B44" s="51" t="s">
        <v>51</v>
      </c>
      <c r="C44" s="51"/>
      <c r="D44" s="33">
        <f>C39</f>
        <v>2.5387542559177616</v>
      </c>
      <c r="I44" s="54" t="s">
        <v>67</v>
      </c>
      <c r="J44" s="54"/>
      <c r="K44" s="51"/>
      <c r="L44" s="27">
        <f>SUM(D26:H26)</f>
        <v>3778.1</v>
      </c>
    </row>
    <row r="45" spans="2:17" x14ac:dyDescent="0.3">
      <c r="B45" s="51" t="s">
        <v>57</v>
      </c>
      <c r="C45" s="51"/>
      <c r="D45" s="1">
        <v>0.6</v>
      </c>
      <c r="E45" t="s">
        <v>61</v>
      </c>
      <c r="I45" s="54" t="s">
        <v>66</v>
      </c>
      <c r="J45" s="54"/>
      <c r="K45" s="51"/>
      <c r="L45">
        <v>2</v>
      </c>
    </row>
    <row r="46" spans="2:17" x14ac:dyDescent="0.3">
      <c r="B46" s="59" t="s">
        <v>11</v>
      </c>
      <c r="C46" s="59"/>
      <c r="D46">
        <v>20</v>
      </c>
      <c r="I46" t="s">
        <v>95</v>
      </c>
      <c r="K46" s="3"/>
    </row>
    <row r="47" spans="2:17" x14ac:dyDescent="0.3">
      <c r="B47" s="59" t="s">
        <v>59</v>
      </c>
      <c r="C47" s="59"/>
      <c r="D47" s="34">
        <v>7.4999999999999997E-2</v>
      </c>
      <c r="E47" t="s">
        <v>68</v>
      </c>
      <c r="I47" t="s">
        <v>96</v>
      </c>
      <c r="K47" s="3"/>
      <c r="L47" s="40">
        <v>0.03</v>
      </c>
    </row>
    <row r="48" spans="2:17" x14ac:dyDescent="0.3">
      <c r="B48" s="51" t="s">
        <v>60</v>
      </c>
      <c r="C48" s="51"/>
      <c r="D48" s="31">
        <v>9</v>
      </c>
      <c r="I48" s="54" t="s">
        <v>97</v>
      </c>
      <c r="J48" s="54"/>
      <c r="K48" s="51"/>
      <c r="L48" s="34">
        <v>0.115</v>
      </c>
    </row>
    <row r="50" spans="2:17" ht="15.6" x14ac:dyDescent="0.3">
      <c r="B50" s="49" t="s">
        <v>73</v>
      </c>
      <c r="C50" s="49"/>
      <c r="D50" s="49"/>
      <c r="E50" s="49"/>
      <c r="F50" s="49"/>
      <c r="G50" s="49"/>
      <c r="H50" s="49"/>
      <c r="I50" s="49"/>
      <c r="J50" s="49"/>
      <c r="K50" s="49"/>
      <c r="L50" s="49"/>
      <c r="M50" s="49"/>
      <c r="N50" s="49"/>
      <c r="O50" s="49"/>
      <c r="P50" s="49"/>
      <c r="Q50" s="49"/>
    </row>
    <row r="51" spans="2:17" x14ac:dyDescent="0.3">
      <c r="B51" s="58" t="s">
        <v>69</v>
      </c>
      <c r="C51" s="58"/>
      <c r="D51" s="58"/>
      <c r="E51" s="58"/>
      <c r="F51" s="58"/>
      <c r="G51" s="58"/>
      <c r="H51" s="58"/>
      <c r="I51" s="58"/>
      <c r="J51" s="58"/>
      <c r="K51" s="58"/>
      <c r="L51" s="58"/>
      <c r="M51" s="58"/>
      <c r="N51" s="58"/>
      <c r="O51" s="58"/>
      <c r="P51" s="58"/>
      <c r="Q51" s="58"/>
    </row>
    <row r="52" spans="2:17" x14ac:dyDescent="0.3">
      <c r="B52" t="s">
        <v>70</v>
      </c>
      <c r="C52" s="27">
        <f>L44*(1+D47)^L45</f>
        <v>4366.0668124999993</v>
      </c>
    </row>
    <row r="53" spans="2:17" x14ac:dyDescent="0.3">
      <c r="B53" s="35" t="s">
        <v>71</v>
      </c>
    </row>
    <row r="54" spans="2:17" x14ac:dyDescent="0.3">
      <c r="B54" t="s">
        <v>72</v>
      </c>
      <c r="C54" s="33">
        <f>365*C52*((1+D47)^D46-1)*D44*D45/D47/1000000</f>
        <v>105.12112589208186</v>
      </c>
    </row>
    <row r="56" spans="2:17" x14ac:dyDescent="0.3">
      <c r="B56" s="58" t="s">
        <v>74</v>
      </c>
      <c r="C56" s="58"/>
      <c r="D56" s="58"/>
      <c r="E56" s="58"/>
      <c r="F56" s="58"/>
      <c r="G56" s="58"/>
      <c r="H56" s="58"/>
      <c r="I56" s="58"/>
      <c r="J56" s="58"/>
      <c r="K56" s="58"/>
      <c r="L56" s="58"/>
      <c r="M56" s="58"/>
      <c r="N56" s="58"/>
      <c r="O56" s="58"/>
      <c r="P56" s="58"/>
      <c r="Q56" s="58"/>
    </row>
    <row r="57" spans="2:17" x14ac:dyDescent="0.3">
      <c r="B57" s="5" t="s">
        <v>75</v>
      </c>
      <c r="C57" s="5" t="s">
        <v>76</v>
      </c>
    </row>
    <row r="58" spans="2:17" x14ac:dyDescent="0.3">
      <c r="B58" s="5" t="s">
        <v>77</v>
      </c>
      <c r="C58" s="5">
        <v>40</v>
      </c>
    </row>
    <row r="59" spans="2:17" x14ac:dyDescent="0.3">
      <c r="B59" s="5" t="s">
        <v>78</v>
      </c>
      <c r="C59" s="5">
        <v>120</v>
      </c>
    </row>
    <row r="60" spans="2:17" x14ac:dyDescent="0.3">
      <c r="B60" s="5" t="s">
        <v>31</v>
      </c>
      <c r="C60" s="5">
        <v>250</v>
      </c>
    </row>
    <row r="61" spans="2:17" x14ac:dyDescent="0.3">
      <c r="B61" s="5" t="s">
        <v>30</v>
      </c>
      <c r="C61" s="5">
        <v>200</v>
      </c>
    </row>
    <row r="62" spans="2:17" x14ac:dyDescent="0.3">
      <c r="B62" s="5" t="s">
        <v>29</v>
      </c>
      <c r="C62" s="5">
        <v>500</v>
      </c>
    </row>
    <row r="63" spans="2:17" x14ac:dyDescent="0.3">
      <c r="B63" t="s">
        <v>79</v>
      </c>
    </row>
    <row r="65" spans="2:17" x14ac:dyDescent="0.3">
      <c r="B65" s="58" t="s">
        <v>80</v>
      </c>
      <c r="C65" s="58"/>
      <c r="D65" s="58"/>
      <c r="E65" s="58"/>
      <c r="F65" s="58"/>
      <c r="G65" s="58"/>
      <c r="H65" s="58"/>
      <c r="I65" s="58"/>
      <c r="J65" s="58"/>
      <c r="K65" s="58"/>
      <c r="L65" s="58"/>
      <c r="M65" s="58"/>
      <c r="N65" s="58"/>
      <c r="O65" s="58"/>
      <c r="P65" s="58"/>
      <c r="Q65" s="58"/>
    </row>
    <row r="69" spans="2:17" ht="18" x14ac:dyDescent="0.35">
      <c r="E69" s="60" t="s">
        <v>75</v>
      </c>
      <c r="F69" s="60"/>
      <c r="G69" s="60" t="s">
        <v>76</v>
      </c>
      <c r="H69" s="60"/>
    </row>
    <row r="70" spans="2:17" x14ac:dyDescent="0.3">
      <c r="E70" s="61" t="s">
        <v>81</v>
      </c>
      <c r="F70" s="61"/>
      <c r="G70" s="50">
        <f>C58+C59</f>
        <v>160</v>
      </c>
      <c r="H70" s="50"/>
    </row>
    <row r="71" spans="2:17" x14ac:dyDescent="0.3">
      <c r="E71" s="61"/>
      <c r="F71" s="61"/>
      <c r="G71" s="50"/>
      <c r="H71" s="50"/>
    </row>
    <row r="72" spans="2:17" x14ac:dyDescent="0.3">
      <c r="E72" s="62" t="s">
        <v>82</v>
      </c>
      <c r="F72" s="62"/>
      <c r="G72" s="50">
        <f>C60+C61</f>
        <v>450</v>
      </c>
      <c r="H72" s="50"/>
    </row>
    <row r="73" spans="2:17" x14ac:dyDescent="0.3">
      <c r="E73" s="62"/>
      <c r="F73" s="62"/>
      <c r="G73" s="50"/>
      <c r="H73" s="50"/>
    </row>
    <row r="74" spans="2:17" x14ac:dyDescent="0.3">
      <c r="E74" s="62"/>
      <c r="F74" s="62"/>
      <c r="G74" s="50"/>
      <c r="H74" s="50"/>
    </row>
    <row r="75" spans="2:17" x14ac:dyDescent="0.3">
      <c r="E75" s="63" t="s">
        <v>83</v>
      </c>
      <c r="F75" s="63"/>
      <c r="G75" s="50">
        <f>C62</f>
        <v>500</v>
      </c>
      <c r="H75" s="50"/>
    </row>
    <row r="76" spans="2:17" x14ac:dyDescent="0.3">
      <c r="E76" s="63"/>
      <c r="F76" s="63"/>
      <c r="G76" s="50"/>
      <c r="H76" s="50"/>
    </row>
    <row r="77" spans="2:17" x14ac:dyDescent="0.3">
      <c r="E77" s="63"/>
      <c r="F77" s="63"/>
      <c r="G77" s="50"/>
      <c r="H77" s="50"/>
    </row>
    <row r="78" spans="2:17" x14ac:dyDescent="0.3">
      <c r="E78" s="63"/>
      <c r="F78" s="63"/>
      <c r="G78" s="50"/>
      <c r="H78" s="50"/>
    </row>
    <row r="80" spans="2:17" x14ac:dyDescent="0.3">
      <c r="B80" s="58" t="s">
        <v>84</v>
      </c>
      <c r="C80" s="58"/>
      <c r="D80" s="58"/>
      <c r="E80" s="58"/>
      <c r="F80" s="58"/>
      <c r="G80" s="58"/>
      <c r="H80" s="58"/>
      <c r="I80" s="58"/>
      <c r="J80" s="58"/>
      <c r="K80" s="58"/>
      <c r="L80" s="58"/>
      <c r="M80" s="58"/>
      <c r="N80" s="58"/>
      <c r="O80" s="58"/>
      <c r="P80" s="58"/>
      <c r="Q80" s="58"/>
    </row>
    <row r="81" spans="2:17" x14ac:dyDescent="0.3">
      <c r="B81" s="24"/>
      <c r="C81" s="36" t="s">
        <v>64</v>
      </c>
      <c r="D81" s="26" t="s">
        <v>62</v>
      </c>
    </row>
    <row r="82" spans="2:17" x14ac:dyDescent="0.3">
      <c r="B82" s="24" t="s">
        <v>29</v>
      </c>
      <c r="C82" s="38" cm="1">
        <f t="array" ref="C82">17.6*(cbr)^0.64</f>
        <v>71.817101600169877</v>
      </c>
      <c r="D82" s="26">
        <v>0.35</v>
      </c>
    </row>
    <row r="83" spans="2:17" x14ac:dyDescent="0.3">
      <c r="B83" s="4" t="s">
        <v>65</v>
      </c>
      <c r="C83" s="32">
        <f>0.2*($G$72)^0.45*C82</f>
        <v>224.49336032364351</v>
      </c>
      <c r="D83" s="3">
        <v>0.35</v>
      </c>
    </row>
    <row r="84" spans="2:17" x14ac:dyDescent="0.3">
      <c r="B84" s="21" t="s">
        <v>85</v>
      </c>
      <c r="C84" s="39">
        <v>2200</v>
      </c>
      <c r="D84" s="23">
        <v>0.35</v>
      </c>
    </row>
    <row r="86" spans="2:17" x14ac:dyDescent="0.3">
      <c r="B86" s="58" t="s">
        <v>87</v>
      </c>
      <c r="C86" s="58"/>
      <c r="D86" s="58"/>
      <c r="E86" s="58"/>
      <c r="F86" s="58"/>
      <c r="G86" s="58"/>
      <c r="H86" s="58"/>
      <c r="I86" s="58"/>
      <c r="J86" s="58"/>
      <c r="K86" s="58"/>
      <c r="L86" s="58"/>
      <c r="M86" s="58"/>
      <c r="N86" s="58"/>
      <c r="O86" s="58"/>
      <c r="P86" s="58"/>
      <c r="Q86" s="58"/>
    </row>
    <row r="87" spans="2:17" x14ac:dyDescent="0.3">
      <c r="B87" s="35" t="s">
        <v>88</v>
      </c>
      <c r="N87" t="s">
        <v>8</v>
      </c>
    </row>
    <row r="88" spans="2:17" x14ac:dyDescent="0.3">
      <c r="B88" s="42" t="s">
        <v>86</v>
      </c>
      <c r="C88" s="43">
        <f>(1.41*(10^(-8))/($C$54*1000000))^(1/4.5337)</f>
        <v>3.1550251481005814E-4</v>
      </c>
      <c r="N88" t="s">
        <v>94</v>
      </c>
    </row>
    <row r="90" spans="2:17" x14ac:dyDescent="0.3">
      <c r="B90" s="35" t="s">
        <v>89</v>
      </c>
    </row>
    <row r="91" spans="2:17" x14ac:dyDescent="0.3">
      <c r="B91" s="42" t="s">
        <v>92</v>
      </c>
      <c r="C91" s="43">
        <f>(0.5161*F92*0.0001/($C$54*1000000*($C$84^0.854)))^(1/3.89)</f>
        <v>1.6991843829641307E-4</v>
      </c>
      <c r="E91" s="5" t="s">
        <v>91</v>
      </c>
      <c r="F91" s="37">
        <f>4.84*(L48/(L48+L47)-0.69)</f>
        <v>0.49902068965517227</v>
      </c>
    </row>
    <row r="92" spans="2:17" x14ac:dyDescent="0.3">
      <c r="E92" s="5" t="s">
        <v>90</v>
      </c>
      <c r="F92" s="37">
        <f>10^F91</f>
        <v>3.1551549304020763</v>
      </c>
    </row>
    <row r="95" spans="2:17" x14ac:dyDescent="0.3">
      <c r="B95" s="58" t="s">
        <v>93</v>
      </c>
      <c r="C95" s="58"/>
      <c r="D95" s="58"/>
      <c r="E95" s="58"/>
      <c r="F95" s="58"/>
      <c r="G95" s="58"/>
      <c r="H95" s="58"/>
      <c r="I95" s="58"/>
      <c r="J95" s="58"/>
      <c r="K95" s="58"/>
      <c r="L95" s="58"/>
      <c r="M95" s="58"/>
      <c r="N95" s="58"/>
      <c r="O95" s="58"/>
      <c r="P95" s="58"/>
      <c r="Q95" s="58"/>
    </row>
  </sheetData>
  <mergeCells count="57">
    <mergeCell ref="B80:Q80"/>
    <mergeCell ref="B86:Q86"/>
    <mergeCell ref="B95:Q95"/>
    <mergeCell ref="I48:K48"/>
    <mergeCell ref="B45:C45"/>
    <mergeCell ref="B46:C46"/>
    <mergeCell ref="B47:C47"/>
    <mergeCell ref="B48:C48"/>
    <mergeCell ref="B56:Q56"/>
    <mergeCell ref="B65:Q65"/>
    <mergeCell ref="E69:F69"/>
    <mergeCell ref="G69:H69"/>
    <mergeCell ref="E70:F71"/>
    <mergeCell ref="E72:F74"/>
    <mergeCell ref="E75:F78"/>
    <mergeCell ref="G70:H71"/>
    <mergeCell ref="I45:K45"/>
    <mergeCell ref="C39:N39"/>
    <mergeCell ref="B42:Q42"/>
    <mergeCell ref="B51:Q51"/>
    <mergeCell ref="B50:Q50"/>
    <mergeCell ref="G72:H74"/>
    <mergeCell ref="G75:H78"/>
    <mergeCell ref="B44:C44"/>
    <mergeCell ref="M37:N37"/>
    <mergeCell ref="C38:D38"/>
    <mergeCell ref="E38:F38"/>
    <mergeCell ref="G38:H38"/>
    <mergeCell ref="I38:J38"/>
    <mergeCell ref="K38:L38"/>
    <mergeCell ref="M38:N38"/>
    <mergeCell ref="C37:D37"/>
    <mergeCell ref="E37:F37"/>
    <mergeCell ref="G37:H37"/>
    <mergeCell ref="I37:J37"/>
    <mergeCell ref="K37:L37"/>
    <mergeCell ref="I44:K44"/>
    <mergeCell ref="K32:L32"/>
    <mergeCell ref="M32:N32"/>
    <mergeCell ref="B30:Q30"/>
    <mergeCell ref="C33:D33"/>
    <mergeCell ref="E33:F33"/>
    <mergeCell ref="G33:H33"/>
    <mergeCell ref="I33:J33"/>
    <mergeCell ref="K33:L33"/>
    <mergeCell ref="M33:N33"/>
    <mergeCell ref="C32:D32"/>
    <mergeCell ref="E32:F32"/>
    <mergeCell ref="G32:H32"/>
    <mergeCell ref="I32:J32"/>
    <mergeCell ref="C12:H12"/>
    <mergeCell ref="B6:H6"/>
    <mergeCell ref="C7:H7"/>
    <mergeCell ref="C8:H8"/>
    <mergeCell ref="C9:H9"/>
    <mergeCell ref="C10:H10"/>
    <mergeCell ref="C11:H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79C17-C691-4DE6-B2F2-E4938FCA3C94}">
  <dimension ref="A1"/>
  <sheetViews>
    <sheetView zoomScale="94" workbookViewId="0">
      <selection activeCell="I17" sqref="I1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0C2BC-A02C-4788-955E-346B5AC51198}">
  <dimension ref="B6:Z93"/>
  <sheetViews>
    <sheetView tabSelected="1" topLeftCell="A72" zoomScale="86" workbookViewId="0">
      <selection activeCell="T87" sqref="T87"/>
    </sheetView>
  </sheetViews>
  <sheetFormatPr defaultRowHeight="14.4" x14ac:dyDescent="0.3"/>
  <cols>
    <col min="2" max="2" width="13.44140625" bestFit="1" customWidth="1"/>
    <col min="4" max="4" width="8.88671875" customWidth="1"/>
    <col min="5" max="5" width="11" customWidth="1"/>
    <col min="15" max="15" width="13.44140625" bestFit="1" customWidth="1"/>
  </cols>
  <sheetData>
    <row r="6" spans="2:26" ht="18" x14ac:dyDescent="0.3">
      <c r="B6" s="64" t="s">
        <v>24</v>
      </c>
      <c r="C6" s="64"/>
      <c r="D6" s="64"/>
      <c r="E6" s="64"/>
      <c r="F6" s="64"/>
      <c r="G6" s="64"/>
      <c r="H6" s="64"/>
      <c r="I6" s="64"/>
      <c r="J6" s="64"/>
      <c r="K6" s="64"/>
      <c r="L6" s="64"/>
      <c r="M6" s="64"/>
      <c r="O6" s="64" t="s">
        <v>25</v>
      </c>
      <c r="P6" s="64"/>
      <c r="Q6" s="64"/>
      <c r="R6" s="64"/>
      <c r="S6" s="64"/>
      <c r="T6" s="64"/>
      <c r="U6" s="64"/>
      <c r="V6" s="64"/>
      <c r="W6" s="64"/>
      <c r="X6" s="64"/>
      <c r="Y6" s="64"/>
      <c r="Z6" s="64"/>
    </row>
    <row r="8" spans="2:26" x14ac:dyDescent="0.3">
      <c r="B8" s="65" t="s">
        <v>23</v>
      </c>
      <c r="C8" s="65"/>
      <c r="D8" s="65"/>
      <c r="E8" s="65"/>
      <c r="F8" s="65"/>
      <c r="G8" s="65"/>
      <c r="H8" s="65"/>
      <c r="I8" s="65"/>
      <c r="J8" s="65"/>
      <c r="K8" s="65"/>
      <c r="L8" s="65"/>
      <c r="M8" s="65"/>
      <c r="O8" s="65" t="s">
        <v>23</v>
      </c>
      <c r="P8" s="65"/>
      <c r="Q8" s="65"/>
      <c r="R8" s="65"/>
      <c r="S8" s="65"/>
      <c r="T8" s="65"/>
      <c r="U8" s="65"/>
      <c r="V8" s="65"/>
      <c r="W8" s="65"/>
      <c r="X8" s="65"/>
      <c r="Y8" s="65"/>
      <c r="Z8" s="65"/>
    </row>
    <row r="9" spans="2:26" x14ac:dyDescent="0.3">
      <c r="B9" s="24" t="s">
        <v>26</v>
      </c>
      <c r="C9" s="25">
        <v>94.5</v>
      </c>
      <c r="D9" s="25"/>
      <c r="E9" s="66" t="s">
        <v>28</v>
      </c>
      <c r="F9" s="66"/>
      <c r="G9" s="66"/>
      <c r="H9" s="66"/>
      <c r="I9" s="66"/>
      <c r="J9" s="66"/>
      <c r="K9" s="66"/>
      <c r="L9" s="66"/>
      <c r="M9" s="67"/>
      <c r="O9" s="24" t="s">
        <v>26</v>
      </c>
      <c r="P9" s="25">
        <v>94.5</v>
      </c>
      <c r="Q9" s="25"/>
      <c r="R9" s="66" t="s">
        <v>28</v>
      </c>
      <c r="S9" s="66"/>
      <c r="T9" s="66"/>
      <c r="U9" s="66"/>
      <c r="V9" s="66"/>
      <c r="W9" s="66"/>
      <c r="X9" s="66"/>
      <c r="Y9" s="66"/>
      <c r="Z9" s="67"/>
    </row>
    <row r="10" spans="2:26" x14ac:dyDescent="0.3">
      <c r="B10" s="4" t="s">
        <v>27</v>
      </c>
      <c r="C10">
        <f>3.5*6+2*(1.5+2)+2.5+0.5*2</f>
        <v>31.5</v>
      </c>
      <c r="E10" s="68"/>
      <c r="F10" s="68"/>
      <c r="G10" s="68"/>
      <c r="H10" s="68"/>
      <c r="I10" s="68"/>
      <c r="J10" s="68"/>
      <c r="K10" s="68"/>
      <c r="L10" s="68"/>
      <c r="M10" s="69"/>
      <c r="O10" s="4" t="s">
        <v>27</v>
      </c>
      <c r="P10">
        <f>3.5*6+2*(1.5+2)+2.5+0.5*2</f>
        <v>31.5</v>
      </c>
      <c r="R10" s="68"/>
      <c r="S10" s="68"/>
      <c r="T10" s="68"/>
      <c r="U10" s="68"/>
      <c r="V10" s="68"/>
      <c r="W10" s="68"/>
      <c r="X10" s="68"/>
      <c r="Y10" s="68"/>
      <c r="Z10" s="69"/>
    </row>
    <row r="11" spans="2:26" x14ac:dyDescent="0.3">
      <c r="B11" s="4"/>
      <c r="E11" s="68"/>
      <c r="F11" s="68"/>
      <c r="G11" s="68"/>
      <c r="H11" s="68"/>
      <c r="I11" s="68"/>
      <c r="J11" s="68"/>
      <c r="K11" s="68"/>
      <c r="L11" s="68"/>
      <c r="M11" s="69"/>
      <c r="O11" s="4"/>
      <c r="R11" s="68"/>
      <c r="S11" s="68"/>
      <c r="T11" s="68"/>
      <c r="U11" s="68"/>
      <c r="V11" s="68"/>
      <c r="W11" s="68"/>
      <c r="X11" s="68"/>
      <c r="Y11" s="68"/>
      <c r="Z11" s="69"/>
    </row>
    <row r="12" spans="2:26" x14ac:dyDescent="0.3">
      <c r="B12" s="4"/>
      <c r="E12" s="68"/>
      <c r="F12" s="68"/>
      <c r="G12" s="68"/>
      <c r="H12" s="68"/>
      <c r="I12" s="68"/>
      <c r="J12" s="68"/>
      <c r="K12" s="68"/>
      <c r="L12" s="68"/>
      <c r="M12" s="69"/>
      <c r="O12" s="4"/>
      <c r="R12" s="68"/>
      <c r="S12" s="68"/>
      <c r="T12" s="68"/>
      <c r="U12" s="68"/>
      <c r="V12" s="68"/>
      <c r="W12" s="68"/>
      <c r="X12" s="68"/>
      <c r="Y12" s="68"/>
      <c r="Z12" s="69"/>
    </row>
    <row r="13" spans="2:26" x14ac:dyDescent="0.3">
      <c r="B13" s="4" t="s">
        <v>76</v>
      </c>
      <c r="M13" s="3"/>
      <c r="O13" s="70" t="s">
        <v>32</v>
      </c>
      <c r="P13" s="54"/>
      <c r="Q13" s="54"/>
      <c r="R13" s="54"/>
      <c r="S13" s="54"/>
      <c r="T13" s="54"/>
      <c r="U13" s="54"/>
      <c r="V13" s="54"/>
      <c r="W13" s="54"/>
      <c r="X13" s="54"/>
      <c r="Y13" s="54"/>
      <c r="Z13" s="51"/>
    </row>
    <row r="14" spans="2:26" x14ac:dyDescent="0.3">
      <c r="B14" s="4" t="str">
        <f>'Flexible Pavement Design'!B57</f>
        <v>Layer</v>
      </c>
      <c r="C14" t="str">
        <f>'Flexible Pavement Design'!C57</f>
        <v>Thickness (in mm)</v>
      </c>
      <c r="M14" s="3"/>
      <c r="O14" s="4" t="s">
        <v>33</v>
      </c>
      <c r="P14">
        <v>300</v>
      </c>
      <c r="Z14" s="3"/>
    </row>
    <row r="15" spans="2:26" x14ac:dyDescent="0.3">
      <c r="B15" s="4" t="str">
        <f>'Flexible Pavement Design'!B58</f>
        <v>BC (Surface Layer)</v>
      </c>
      <c r="C15">
        <f>'Flexible Pavement Design'!C58</f>
        <v>40</v>
      </c>
      <c r="M15" s="3"/>
      <c r="O15" s="4" t="s">
        <v>34</v>
      </c>
      <c r="P15">
        <v>150</v>
      </c>
      <c r="Z15" s="3"/>
    </row>
    <row r="16" spans="2:26" x14ac:dyDescent="0.3">
      <c r="B16" s="4" t="str">
        <f>'Flexible Pavement Design'!B59</f>
        <v>Binder coarse</v>
      </c>
      <c r="C16">
        <f>'Flexible Pavement Design'!C59</f>
        <v>120</v>
      </c>
      <c r="M16" s="3"/>
      <c r="O16" s="4" t="s">
        <v>35</v>
      </c>
      <c r="P16">
        <v>250</v>
      </c>
      <c r="Z16" s="3"/>
    </row>
    <row r="17" spans="2:26" x14ac:dyDescent="0.3">
      <c r="B17" s="4" t="str">
        <f>'Flexible Pavement Design'!B60</f>
        <v>Base (WMM)</v>
      </c>
      <c r="C17">
        <f>'Flexible Pavement Design'!C60</f>
        <v>250</v>
      </c>
      <c r="M17" s="3"/>
      <c r="O17" s="4" t="s">
        <v>36</v>
      </c>
      <c r="P17">
        <v>150</v>
      </c>
      <c r="Z17" s="3"/>
    </row>
    <row r="18" spans="2:26" x14ac:dyDescent="0.3">
      <c r="B18" s="21" t="str">
        <f>'Flexible Pavement Design'!B61</f>
        <v>GSB</v>
      </c>
      <c r="C18" s="22">
        <f>'Flexible Pavement Design'!C61</f>
        <v>200</v>
      </c>
      <c r="D18" s="22"/>
      <c r="E18" s="22"/>
      <c r="F18" s="22"/>
      <c r="G18" s="22"/>
      <c r="H18" s="22"/>
      <c r="I18" s="22"/>
      <c r="J18" s="22"/>
      <c r="K18" s="22"/>
      <c r="L18" s="22"/>
      <c r="M18" s="23"/>
      <c r="O18" s="21" t="s">
        <v>29</v>
      </c>
      <c r="P18" s="22">
        <v>500</v>
      </c>
      <c r="Q18" s="22"/>
      <c r="R18" s="22"/>
      <c r="S18" s="22"/>
      <c r="T18" s="22"/>
      <c r="U18" s="22"/>
      <c r="V18" s="22"/>
      <c r="W18" s="22"/>
      <c r="X18" s="22"/>
      <c r="Y18" s="22"/>
      <c r="Z18" s="23"/>
    </row>
    <row r="21" spans="2:26" x14ac:dyDescent="0.3">
      <c r="B21" s="65" t="s">
        <v>37</v>
      </c>
      <c r="C21" s="65"/>
      <c r="D21" s="65"/>
      <c r="E21" s="65"/>
      <c r="F21" s="65"/>
      <c r="G21" s="65"/>
      <c r="H21" s="65"/>
      <c r="I21" s="65"/>
      <c r="J21" s="65"/>
      <c r="K21" s="65"/>
      <c r="L21" s="65"/>
      <c r="M21" s="65"/>
      <c r="O21" s="65" t="s">
        <v>37</v>
      </c>
      <c r="P21" s="65"/>
      <c r="Q21" s="65"/>
      <c r="R21" s="65"/>
      <c r="S21" s="65"/>
      <c r="T21" s="65"/>
      <c r="U21" s="65"/>
      <c r="V21" s="65"/>
      <c r="W21" s="65"/>
      <c r="X21" s="65"/>
      <c r="Y21" s="65"/>
      <c r="Z21" s="65"/>
    </row>
    <row r="22" spans="2:26" x14ac:dyDescent="0.3">
      <c r="B22" s="24"/>
      <c r="C22" s="25"/>
      <c r="D22" s="25"/>
      <c r="E22" s="25"/>
      <c r="F22" s="25"/>
      <c r="G22" s="25"/>
      <c r="H22" s="25"/>
      <c r="I22" s="25"/>
      <c r="J22" s="25"/>
      <c r="K22" s="25"/>
      <c r="L22" s="25"/>
      <c r="M22" s="26"/>
      <c r="O22" s="24"/>
      <c r="P22" s="25"/>
      <c r="Q22" s="25"/>
      <c r="R22" s="25"/>
      <c r="S22" s="25"/>
      <c r="T22" s="25"/>
      <c r="U22" s="25"/>
      <c r="V22" s="25"/>
      <c r="W22" s="25"/>
      <c r="X22" s="25"/>
      <c r="Y22" s="25"/>
      <c r="Z22" s="26"/>
    </row>
    <row r="23" spans="2:26" x14ac:dyDescent="0.3">
      <c r="B23" s="4"/>
      <c r="M23" s="3"/>
      <c r="O23" s="4"/>
      <c r="Z23" s="3"/>
    </row>
    <row r="24" spans="2:26" x14ac:dyDescent="0.3">
      <c r="B24" s="4"/>
      <c r="M24" s="3"/>
      <c r="O24" s="4"/>
      <c r="Z24" s="3"/>
    </row>
    <row r="25" spans="2:26" x14ac:dyDescent="0.3">
      <c r="B25" s="4"/>
      <c r="M25" s="3"/>
      <c r="O25" s="4"/>
      <c r="Z25" s="3"/>
    </row>
    <row r="26" spans="2:26" x14ac:dyDescent="0.3">
      <c r="B26" s="4"/>
      <c r="M26" s="3"/>
      <c r="O26" s="4"/>
      <c r="Z26" s="3"/>
    </row>
    <row r="27" spans="2:26" x14ac:dyDescent="0.3">
      <c r="B27" s="4"/>
      <c r="M27" s="3"/>
      <c r="O27" s="4"/>
      <c r="Z27" s="3"/>
    </row>
    <row r="28" spans="2:26" x14ac:dyDescent="0.3">
      <c r="B28" s="4"/>
      <c r="M28" s="3"/>
      <c r="O28" s="4"/>
      <c r="Z28" s="3"/>
    </row>
    <row r="29" spans="2:26" x14ac:dyDescent="0.3">
      <c r="B29" s="4"/>
      <c r="M29" s="3"/>
      <c r="O29" s="4"/>
      <c r="Z29" s="3"/>
    </row>
    <row r="30" spans="2:26" x14ac:dyDescent="0.3">
      <c r="B30" s="21"/>
      <c r="C30" s="22"/>
      <c r="D30" s="22"/>
      <c r="E30" s="22"/>
      <c r="F30" s="22"/>
      <c r="G30" s="22"/>
      <c r="H30" s="22"/>
      <c r="I30" s="22"/>
      <c r="J30" s="22"/>
      <c r="K30" s="22"/>
      <c r="L30" s="22"/>
      <c r="M30" s="23"/>
      <c r="O30" s="21"/>
      <c r="P30" s="22"/>
      <c r="Q30" s="22"/>
      <c r="R30" s="22"/>
      <c r="S30" s="22"/>
      <c r="T30" s="22"/>
      <c r="U30" s="22"/>
      <c r="V30" s="22"/>
      <c r="W30" s="22"/>
      <c r="X30" s="22"/>
      <c r="Y30" s="22"/>
      <c r="Z30" s="23"/>
    </row>
    <row r="33" spans="2:26" x14ac:dyDescent="0.3">
      <c r="B33" s="65" t="s">
        <v>38</v>
      </c>
      <c r="C33" s="65"/>
      <c r="D33" s="65"/>
      <c r="E33" s="65"/>
      <c r="F33" s="65"/>
      <c r="G33" s="65"/>
      <c r="H33" s="65"/>
      <c r="I33" s="65"/>
      <c r="J33" s="65"/>
      <c r="K33" s="65"/>
      <c r="L33" s="65"/>
      <c r="M33" s="65"/>
      <c r="O33" s="65" t="s">
        <v>38</v>
      </c>
      <c r="P33" s="65"/>
      <c r="Q33" s="65"/>
      <c r="R33" s="65"/>
      <c r="S33" s="65"/>
      <c r="T33" s="65"/>
      <c r="U33" s="65"/>
      <c r="V33" s="65"/>
      <c r="W33" s="65"/>
      <c r="X33" s="65"/>
      <c r="Y33" s="65"/>
      <c r="Z33" s="65"/>
    </row>
    <row r="34" spans="2:26" x14ac:dyDescent="0.3">
      <c r="B34" s="24"/>
      <c r="C34" s="25"/>
      <c r="D34" s="25"/>
      <c r="E34" s="25"/>
      <c r="F34" s="25"/>
      <c r="G34" s="25"/>
      <c r="H34" s="25"/>
      <c r="I34" s="25"/>
      <c r="J34" s="25"/>
      <c r="K34" s="25"/>
      <c r="L34" s="25"/>
      <c r="M34" s="26"/>
      <c r="O34" s="24"/>
      <c r="P34" s="25"/>
      <c r="Q34" s="25"/>
      <c r="R34" s="25"/>
      <c r="S34" s="25"/>
      <c r="T34" s="25"/>
      <c r="U34" s="25"/>
      <c r="V34" s="25"/>
      <c r="W34" s="25"/>
      <c r="X34" s="25"/>
      <c r="Y34" s="25"/>
      <c r="Z34" s="26"/>
    </row>
    <row r="35" spans="2:26" x14ac:dyDescent="0.3">
      <c r="B35" s="4"/>
      <c r="M35" s="3"/>
      <c r="O35" s="4"/>
      <c r="Z35" s="3"/>
    </row>
    <row r="36" spans="2:26" x14ac:dyDescent="0.3">
      <c r="B36" s="4"/>
      <c r="M36" s="3"/>
      <c r="O36" s="4"/>
      <c r="Z36" s="3"/>
    </row>
    <row r="37" spans="2:26" x14ac:dyDescent="0.3">
      <c r="B37" s="4"/>
      <c r="M37" s="3"/>
      <c r="O37" s="4"/>
      <c r="Z37" s="3"/>
    </row>
    <row r="38" spans="2:26" x14ac:dyDescent="0.3">
      <c r="B38" s="4"/>
      <c r="M38" s="3"/>
      <c r="O38" s="4"/>
      <c r="Z38" s="3"/>
    </row>
    <row r="39" spans="2:26" x14ac:dyDescent="0.3">
      <c r="B39" s="4"/>
      <c r="M39" s="3"/>
      <c r="O39" s="4"/>
      <c r="Z39" s="3"/>
    </row>
    <row r="40" spans="2:26" x14ac:dyDescent="0.3">
      <c r="B40" s="4"/>
      <c r="M40" s="3"/>
      <c r="O40" s="4"/>
      <c r="Z40" s="3"/>
    </row>
    <row r="41" spans="2:26" x14ac:dyDescent="0.3">
      <c r="B41" s="4"/>
      <c r="M41" s="3"/>
      <c r="O41" s="4"/>
      <c r="Z41" s="3"/>
    </row>
    <row r="42" spans="2:26" x14ac:dyDescent="0.3">
      <c r="B42" s="4"/>
      <c r="M42" s="3"/>
      <c r="O42" s="4"/>
      <c r="Z42" s="3"/>
    </row>
    <row r="43" spans="2:26" x14ac:dyDescent="0.3">
      <c r="B43" s="4"/>
      <c r="M43" s="3"/>
      <c r="O43" s="4"/>
      <c r="Z43" s="3"/>
    </row>
    <row r="44" spans="2:26" x14ac:dyDescent="0.3">
      <c r="B44" s="4"/>
      <c r="M44" s="3"/>
      <c r="O44" s="4"/>
      <c r="Z44" s="3"/>
    </row>
    <row r="45" spans="2:26" x14ac:dyDescent="0.3">
      <c r="B45" s="4"/>
      <c r="M45" s="3"/>
      <c r="O45" s="4"/>
      <c r="Z45" s="3"/>
    </row>
    <row r="46" spans="2:26" x14ac:dyDescent="0.3">
      <c r="B46" s="21"/>
      <c r="C46" s="22"/>
      <c r="D46" s="22"/>
      <c r="E46" s="22"/>
      <c r="F46" s="22"/>
      <c r="G46" s="22"/>
      <c r="H46" s="22"/>
      <c r="I46" s="22"/>
      <c r="J46" s="22"/>
      <c r="K46" s="22"/>
      <c r="L46" s="22"/>
      <c r="M46" s="23"/>
      <c r="O46" s="21"/>
      <c r="P46" s="22"/>
      <c r="Q46" s="22"/>
      <c r="R46" s="22"/>
      <c r="S46" s="22"/>
      <c r="T46" s="22"/>
      <c r="U46" s="22"/>
      <c r="V46" s="22"/>
      <c r="W46" s="22"/>
      <c r="X46" s="22"/>
      <c r="Y46" s="22"/>
      <c r="Z46" s="23"/>
    </row>
    <row r="49" spans="2:26" x14ac:dyDescent="0.3">
      <c r="B49" s="65" t="s">
        <v>40</v>
      </c>
      <c r="C49" s="65"/>
      <c r="D49" s="65"/>
      <c r="E49" s="65"/>
      <c r="F49" s="65"/>
      <c r="G49" s="65"/>
      <c r="H49" s="65"/>
      <c r="I49" s="65"/>
      <c r="J49" s="65"/>
      <c r="K49" s="65"/>
      <c r="L49" s="65"/>
      <c r="M49" s="65"/>
      <c r="O49" s="65" t="s">
        <v>40</v>
      </c>
      <c r="P49" s="65"/>
      <c r="Q49" s="65"/>
      <c r="R49" s="65"/>
      <c r="S49" s="65"/>
      <c r="T49" s="65"/>
      <c r="U49" s="65"/>
      <c r="V49" s="65"/>
      <c r="W49" s="65"/>
      <c r="X49" s="65"/>
      <c r="Y49" s="65"/>
      <c r="Z49" s="65"/>
    </row>
    <row r="50" spans="2:26" x14ac:dyDescent="0.3">
      <c r="B50" s="24"/>
      <c r="C50" s="25"/>
      <c r="D50" s="25"/>
      <c r="E50" s="25"/>
      <c r="F50" s="25"/>
      <c r="G50" s="25"/>
      <c r="H50" s="25"/>
      <c r="I50" s="25"/>
      <c r="J50" s="25"/>
      <c r="K50" s="25"/>
      <c r="L50" s="25"/>
      <c r="M50" s="26"/>
      <c r="O50" s="24"/>
      <c r="P50" s="25"/>
      <c r="Q50" s="25"/>
      <c r="R50" s="25"/>
      <c r="S50" s="25"/>
      <c r="T50" s="25"/>
      <c r="U50" s="25"/>
      <c r="V50" s="25"/>
      <c r="W50" s="25"/>
      <c r="X50" s="25"/>
      <c r="Y50" s="25"/>
      <c r="Z50" s="26"/>
    </row>
    <row r="51" spans="2:26" x14ac:dyDescent="0.3">
      <c r="B51" s="4"/>
      <c r="M51" s="3"/>
      <c r="O51" s="4"/>
      <c r="Z51" s="3"/>
    </row>
    <row r="52" spans="2:26" x14ac:dyDescent="0.3">
      <c r="B52" s="4"/>
      <c r="M52" s="3"/>
      <c r="O52" s="4"/>
      <c r="Z52" s="3"/>
    </row>
    <row r="53" spans="2:26" x14ac:dyDescent="0.3">
      <c r="B53" s="4"/>
      <c r="M53" s="3"/>
      <c r="O53" s="4"/>
      <c r="Z53" s="3"/>
    </row>
    <row r="54" spans="2:26" x14ac:dyDescent="0.3">
      <c r="B54" s="4"/>
      <c r="M54" s="3"/>
      <c r="O54" s="4"/>
      <c r="Z54" s="3"/>
    </row>
    <row r="55" spans="2:26" x14ac:dyDescent="0.3">
      <c r="B55" s="4"/>
      <c r="M55" s="3"/>
      <c r="O55" s="4"/>
      <c r="Z55" s="3"/>
    </row>
    <row r="56" spans="2:26" x14ac:dyDescent="0.3">
      <c r="B56" s="4"/>
      <c r="M56" s="3"/>
      <c r="O56" s="4"/>
      <c r="Z56" s="3"/>
    </row>
    <row r="57" spans="2:26" x14ac:dyDescent="0.3">
      <c r="B57" s="4"/>
      <c r="M57" s="3"/>
      <c r="O57" s="4"/>
      <c r="Z57" s="3"/>
    </row>
    <row r="58" spans="2:26" x14ac:dyDescent="0.3">
      <c r="B58" s="4"/>
      <c r="M58" s="3"/>
      <c r="O58" s="4"/>
      <c r="Z58" s="3"/>
    </row>
    <row r="59" spans="2:26" x14ac:dyDescent="0.3">
      <c r="B59" s="4"/>
      <c r="M59" s="3"/>
      <c r="O59" s="4"/>
      <c r="Z59" s="3"/>
    </row>
    <row r="60" spans="2:26" x14ac:dyDescent="0.3">
      <c r="B60" s="4"/>
      <c r="M60" s="3"/>
      <c r="O60" s="4"/>
      <c r="Z60" s="3"/>
    </row>
    <row r="61" spans="2:26" x14ac:dyDescent="0.3">
      <c r="B61" s="4"/>
      <c r="M61" s="3"/>
      <c r="O61" s="4"/>
      <c r="Z61" s="3"/>
    </row>
    <row r="62" spans="2:26" x14ac:dyDescent="0.3">
      <c r="B62" s="21"/>
      <c r="C62" s="22"/>
      <c r="D62" s="22"/>
      <c r="E62" s="22"/>
      <c r="F62" s="22"/>
      <c r="G62" s="22"/>
      <c r="H62" s="22"/>
      <c r="I62" s="22"/>
      <c r="J62" s="22"/>
      <c r="K62" s="22"/>
      <c r="L62" s="22"/>
      <c r="M62" s="23"/>
      <c r="O62" s="21"/>
      <c r="P62" s="22"/>
      <c r="Q62" s="22"/>
      <c r="R62" s="22"/>
      <c r="S62" s="22"/>
      <c r="T62" s="22"/>
      <c r="U62" s="22"/>
      <c r="V62" s="22"/>
      <c r="W62" s="22"/>
      <c r="X62" s="22"/>
      <c r="Y62" s="22"/>
      <c r="Z62" s="23"/>
    </row>
    <row r="65" spans="2:26" x14ac:dyDescent="0.3">
      <c r="B65" s="65" t="s">
        <v>39</v>
      </c>
      <c r="C65" s="65"/>
      <c r="D65" s="65"/>
      <c r="E65" s="65"/>
      <c r="F65" s="65"/>
      <c r="G65" s="65"/>
      <c r="H65" s="65"/>
      <c r="I65" s="65"/>
      <c r="J65" s="65"/>
      <c r="K65" s="65"/>
      <c r="L65" s="65"/>
      <c r="M65" s="65"/>
      <c r="O65" s="65" t="s">
        <v>39</v>
      </c>
      <c r="P65" s="65"/>
      <c r="Q65" s="65"/>
      <c r="R65" s="65"/>
      <c r="S65" s="65"/>
      <c r="T65" s="65"/>
      <c r="U65" s="65"/>
      <c r="V65" s="65"/>
      <c r="W65" s="65"/>
      <c r="X65" s="65"/>
      <c r="Y65" s="65"/>
      <c r="Z65" s="65"/>
    </row>
    <row r="66" spans="2:26" x14ac:dyDescent="0.3">
      <c r="B66" s="24"/>
      <c r="C66" s="25"/>
      <c r="D66" s="25"/>
      <c r="E66" s="25"/>
      <c r="F66" s="25"/>
      <c r="G66" s="25"/>
      <c r="H66" s="25"/>
      <c r="I66" s="25"/>
      <c r="J66" s="25"/>
      <c r="K66" s="25"/>
      <c r="L66" s="25"/>
      <c r="M66" s="26"/>
      <c r="O66" s="24"/>
      <c r="P66" s="25"/>
      <c r="Q66" s="25"/>
      <c r="R66" s="25"/>
      <c r="S66" s="25"/>
      <c r="T66" s="25"/>
      <c r="U66" s="25"/>
      <c r="V66" s="25"/>
      <c r="W66" s="25"/>
      <c r="X66" s="25"/>
      <c r="Y66" s="25"/>
      <c r="Z66" s="26"/>
    </row>
    <row r="67" spans="2:26" x14ac:dyDescent="0.3">
      <c r="B67" s="4"/>
      <c r="M67" s="3"/>
      <c r="O67" s="4"/>
      <c r="Z67" s="3"/>
    </row>
    <row r="68" spans="2:26" x14ac:dyDescent="0.3">
      <c r="B68" s="4"/>
      <c r="M68" s="3"/>
      <c r="O68" s="4"/>
      <c r="Z68" s="3"/>
    </row>
    <row r="69" spans="2:26" x14ac:dyDescent="0.3">
      <c r="B69" s="4"/>
      <c r="M69" s="3"/>
      <c r="O69" s="4"/>
      <c r="Z69" s="3"/>
    </row>
    <row r="70" spans="2:26" x14ac:dyDescent="0.3">
      <c r="B70" s="4"/>
      <c r="M70" s="3"/>
      <c r="O70" s="4"/>
      <c r="Z70" s="3"/>
    </row>
    <row r="71" spans="2:26" x14ac:dyDescent="0.3">
      <c r="B71" s="4"/>
      <c r="M71" s="3"/>
      <c r="O71" s="4"/>
      <c r="Z71" s="3"/>
    </row>
    <row r="72" spans="2:26" x14ac:dyDescent="0.3">
      <c r="B72" s="4"/>
      <c r="M72" s="3"/>
      <c r="O72" s="4"/>
      <c r="Z72" s="3"/>
    </row>
    <row r="73" spans="2:26" x14ac:dyDescent="0.3">
      <c r="B73" s="4"/>
      <c r="M73" s="3"/>
      <c r="O73" s="4"/>
      <c r="Z73" s="3"/>
    </row>
    <row r="74" spans="2:26" x14ac:dyDescent="0.3">
      <c r="B74" s="4"/>
      <c r="M74" s="3"/>
      <c r="O74" s="4"/>
      <c r="Z74" s="3"/>
    </row>
    <row r="75" spans="2:26" x14ac:dyDescent="0.3">
      <c r="B75" s="4"/>
      <c r="M75" s="3"/>
      <c r="O75" s="4"/>
      <c r="Z75" s="3"/>
    </row>
    <row r="76" spans="2:26" x14ac:dyDescent="0.3">
      <c r="B76" s="4"/>
      <c r="M76" s="3"/>
      <c r="O76" s="4"/>
      <c r="Z76" s="3"/>
    </row>
    <row r="77" spans="2:26" x14ac:dyDescent="0.3">
      <c r="B77" s="4"/>
      <c r="M77" s="3"/>
      <c r="O77" s="4"/>
      <c r="Z77" s="3"/>
    </row>
    <row r="78" spans="2:26" x14ac:dyDescent="0.3">
      <c r="B78" s="21"/>
      <c r="C78" s="22"/>
      <c r="D78" s="22"/>
      <c r="E78" s="22"/>
      <c r="F78" s="22"/>
      <c r="G78" s="22"/>
      <c r="H78" s="22"/>
      <c r="I78" s="22"/>
      <c r="J78" s="22"/>
      <c r="K78" s="22"/>
      <c r="L78" s="22"/>
      <c r="M78" s="23"/>
      <c r="O78" s="21"/>
      <c r="P78" s="22"/>
      <c r="Q78" s="22"/>
      <c r="R78" s="22"/>
      <c r="S78" s="22"/>
      <c r="T78" s="22"/>
      <c r="U78" s="22"/>
      <c r="V78" s="22"/>
      <c r="W78" s="22"/>
      <c r="X78" s="22"/>
      <c r="Y78" s="22"/>
      <c r="Z78" s="23"/>
    </row>
    <row r="80" spans="2:26" x14ac:dyDescent="0.3">
      <c r="B80" s="65" t="s">
        <v>41</v>
      </c>
      <c r="C80" s="65"/>
      <c r="D80" s="65"/>
      <c r="E80" s="65"/>
      <c r="F80" s="65"/>
      <c r="G80" s="65"/>
      <c r="H80" s="65"/>
      <c r="I80" s="65"/>
      <c r="J80" s="65"/>
      <c r="K80" s="65"/>
      <c r="L80" s="65"/>
      <c r="M80" s="65"/>
      <c r="O80" s="65" t="s">
        <v>41</v>
      </c>
      <c r="P80" s="65"/>
      <c r="Q80" s="65"/>
      <c r="R80" s="65"/>
      <c r="S80" s="65"/>
      <c r="T80" s="65"/>
      <c r="U80" s="65"/>
      <c r="V80" s="65"/>
      <c r="W80" s="65"/>
      <c r="X80" s="65"/>
      <c r="Y80" s="65"/>
      <c r="Z80" s="65"/>
    </row>
    <row r="81" spans="2:26" x14ac:dyDescent="0.3">
      <c r="B81" s="24" t="s">
        <v>42</v>
      </c>
      <c r="C81" s="25"/>
      <c r="D81" s="25"/>
      <c r="E81" s="25"/>
      <c r="F81" s="25"/>
      <c r="G81" s="25"/>
      <c r="H81" s="25"/>
      <c r="I81" s="25"/>
      <c r="J81" s="25"/>
      <c r="K81" s="25"/>
      <c r="L81" s="25"/>
      <c r="M81" s="26"/>
      <c r="O81" s="24" t="s">
        <v>42</v>
      </c>
      <c r="P81" s="25"/>
      <c r="Q81" s="25"/>
      <c r="R81" s="25"/>
      <c r="S81" s="25"/>
      <c r="T81" s="25"/>
      <c r="U81" s="25"/>
      <c r="V81" s="25"/>
      <c r="W81" s="25"/>
      <c r="X81" s="25"/>
      <c r="Y81" s="25"/>
      <c r="Z81" s="26"/>
    </row>
    <row r="82" spans="2:26" x14ac:dyDescent="0.3">
      <c r="B82" s="4" t="s">
        <v>43</v>
      </c>
      <c r="M82" s="3"/>
      <c r="O82" s="4" t="s">
        <v>43</v>
      </c>
      <c r="Z82" s="3"/>
    </row>
    <row r="83" spans="2:26" x14ac:dyDescent="0.3">
      <c r="B83" s="4" t="s">
        <v>44</v>
      </c>
      <c r="M83" s="3"/>
      <c r="O83" s="4" t="s">
        <v>44</v>
      </c>
      <c r="Z83" s="3"/>
    </row>
    <row r="84" spans="2:26" x14ac:dyDescent="0.3">
      <c r="B84" s="4" t="s">
        <v>45</v>
      </c>
      <c r="M84" s="3"/>
      <c r="O84" s="4" t="s">
        <v>45</v>
      </c>
      <c r="Z84" s="3"/>
    </row>
    <row r="85" spans="2:26" x14ac:dyDescent="0.3">
      <c r="B85" s="4"/>
      <c r="M85" s="3"/>
      <c r="O85" s="4"/>
      <c r="S85" t="s">
        <v>105</v>
      </c>
      <c r="Z85" s="3"/>
    </row>
    <row r="86" spans="2:26" x14ac:dyDescent="0.3">
      <c r="B86" s="4"/>
      <c r="M86" s="3"/>
      <c r="O86" s="4"/>
      <c r="Z86" s="3"/>
    </row>
    <row r="87" spans="2:26" x14ac:dyDescent="0.3">
      <c r="B87" s="4"/>
      <c r="M87" s="3"/>
      <c r="O87" s="4"/>
      <c r="Z87" s="3"/>
    </row>
    <row r="88" spans="2:26" x14ac:dyDescent="0.3">
      <c r="B88" s="4"/>
      <c r="M88" s="3"/>
      <c r="O88" s="4"/>
      <c r="Z88" s="3"/>
    </row>
    <row r="89" spans="2:26" x14ac:dyDescent="0.3">
      <c r="B89" s="4"/>
      <c r="M89" s="3"/>
      <c r="O89" s="4"/>
      <c r="Z89" s="3"/>
    </row>
    <row r="90" spans="2:26" x14ac:dyDescent="0.3">
      <c r="B90" s="4"/>
      <c r="M90" s="3"/>
      <c r="O90" s="4"/>
      <c r="Z90" s="3"/>
    </row>
    <row r="91" spans="2:26" x14ac:dyDescent="0.3">
      <c r="B91" s="4"/>
      <c r="M91" s="3"/>
      <c r="O91" s="4"/>
      <c r="Z91" s="3"/>
    </row>
    <row r="92" spans="2:26" x14ac:dyDescent="0.3">
      <c r="B92" s="4"/>
      <c r="M92" s="3"/>
      <c r="O92" s="4"/>
      <c r="Z92" s="3"/>
    </row>
    <row r="93" spans="2:26" x14ac:dyDescent="0.3">
      <c r="B93" s="21"/>
      <c r="C93" s="22"/>
      <c r="D93" s="22"/>
      <c r="E93" s="22"/>
      <c r="F93" s="22"/>
      <c r="G93" s="22"/>
      <c r="H93" s="22"/>
      <c r="I93" s="22"/>
      <c r="J93" s="22"/>
      <c r="K93" s="22"/>
      <c r="L93" s="22"/>
      <c r="M93" s="23"/>
      <c r="O93" s="21"/>
      <c r="P93" s="22"/>
      <c r="Q93" s="22"/>
      <c r="R93" s="22"/>
      <c r="S93" s="22"/>
      <c r="T93" s="22"/>
      <c r="U93" s="22"/>
      <c r="V93" s="22"/>
      <c r="W93" s="22"/>
      <c r="X93" s="22"/>
      <c r="Y93" s="22"/>
      <c r="Z93" s="23"/>
    </row>
  </sheetData>
  <mergeCells count="17">
    <mergeCell ref="B49:M49"/>
    <mergeCell ref="O49:Z49"/>
    <mergeCell ref="B65:M65"/>
    <mergeCell ref="O65:Z65"/>
    <mergeCell ref="B80:M80"/>
    <mergeCell ref="O80:Z80"/>
    <mergeCell ref="O13:Z13"/>
    <mergeCell ref="B21:M21"/>
    <mergeCell ref="O21:Z21"/>
    <mergeCell ref="B33:M33"/>
    <mergeCell ref="O33:Z33"/>
    <mergeCell ref="B6:M6"/>
    <mergeCell ref="O6:Z6"/>
    <mergeCell ref="B8:M8"/>
    <mergeCell ref="E9:M12"/>
    <mergeCell ref="O8:Z8"/>
    <mergeCell ref="R9:Z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0437-DAD4-467A-873C-E376A4EC5658}">
  <dimension ref="B6:T14"/>
  <sheetViews>
    <sheetView workbookViewId="0">
      <selection activeCell="I18" sqref="I18"/>
    </sheetView>
  </sheetViews>
  <sheetFormatPr defaultRowHeight="14.4" x14ac:dyDescent="0.3"/>
  <sheetData>
    <row r="6" spans="2:20" x14ac:dyDescent="0.3">
      <c r="B6" s="71" t="s">
        <v>24</v>
      </c>
      <c r="C6" s="71"/>
      <c r="D6" s="71"/>
      <c r="E6" s="71"/>
      <c r="F6" s="71"/>
      <c r="G6" s="71"/>
      <c r="H6" s="71"/>
      <c r="I6" s="71"/>
      <c r="J6" s="71"/>
      <c r="L6" s="71" t="s">
        <v>24</v>
      </c>
      <c r="M6" s="71"/>
      <c r="N6" s="71"/>
      <c r="O6" s="71"/>
      <c r="P6" s="71"/>
      <c r="Q6" s="71"/>
      <c r="R6" s="71"/>
      <c r="S6" s="71"/>
      <c r="T6" s="71"/>
    </row>
    <row r="8" spans="2:20" x14ac:dyDescent="0.3">
      <c r="B8" t="s">
        <v>98</v>
      </c>
      <c r="C8">
        <f xml:space="preserve"> 100000</f>
        <v>100000</v>
      </c>
    </row>
    <row r="9" spans="2:20" x14ac:dyDescent="0.3">
      <c r="B9" t="s">
        <v>99</v>
      </c>
      <c r="C9">
        <v>20000</v>
      </c>
    </row>
    <row r="10" spans="2:20" x14ac:dyDescent="0.3">
      <c r="B10" t="s">
        <v>100</v>
      </c>
      <c r="C10">
        <v>30000</v>
      </c>
    </row>
    <row r="11" spans="2:20" x14ac:dyDescent="0.3">
      <c r="B11" t="s">
        <v>101</v>
      </c>
    </row>
    <row r="12" spans="2:20" x14ac:dyDescent="0.3">
      <c r="B12" t="s">
        <v>102</v>
      </c>
    </row>
    <row r="13" spans="2:20" x14ac:dyDescent="0.3">
      <c r="B13" t="s">
        <v>103</v>
      </c>
    </row>
    <row r="14" spans="2:20" x14ac:dyDescent="0.3">
      <c r="B14" t="s">
        <v>104</v>
      </c>
    </row>
  </sheetData>
  <mergeCells count="2">
    <mergeCell ref="B6:J6"/>
    <mergeCell ref="L6:T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7B019-54EC-4FEE-90AA-A464A4146CB7}">
  <dimension ref="A1"/>
  <sheetViews>
    <sheetView workbookViewId="0">
      <selection activeCell="M26" sqref="M26"/>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2530-85BA-4BC8-BDDA-C511A7E0AC33}">
  <dimension ref="A1"/>
  <sheetViews>
    <sheetView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EC0B5-DF14-4C07-A989-792A869FC5B8}">
  <dimension ref="A1"/>
  <sheetViews>
    <sheetView workbookViewId="0">
      <selection activeCell="B4" sqref="B4"/>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Flexible Pavement Design</vt:lpstr>
      <vt:lpstr>Rigid Pavement Design</vt:lpstr>
      <vt:lpstr>Cost Estimation</vt:lpstr>
      <vt:lpstr>Cash Flow</vt:lpstr>
      <vt:lpstr>Financial Analysis</vt:lpstr>
      <vt:lpstr>Economic Analysis</vt:lpstr>
      <vt:lpstr>Risk Analysis</vt:lpstr>
      <vt:lpstr>cbr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Khushdev Yogi</dc:creator>
  <cp:lastModifiedBy>Khushdev Yogi</cp:lastModifiedBy>
  <dcterms:created xsi:type="dcterms:W3CDTF">2015-06-05T18:17:20Z</dcterms:created>
  <dcterms:modified xsi:type="dcterms:W3CDTF">2024-04-26T07:27:20Z</dcterms:modified>
</cp:coreProperties>
</file>